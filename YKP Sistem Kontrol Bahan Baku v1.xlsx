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Master_Item" sheetId="2" state="visible" r:id="rId4"/>
    <sheet name="F1_Penerimaan" sheetId="3" state="visible" r:id="rId5"/>
    <sheet name="F2_Kartu_Stok" sheetId="4" state="visible" r:id="rId6"/>
    <sheet name="F3_Bon_Pemakaian" sheetId="5" state="visible" r:id="rId7"/>
    <sheet name="F4_Waste" sheetId="6" state="visible" r:id="rId8"/>
    <sheet name="F5_Closing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<sst xmlns="http://schemas.openxmlformats.org/spreadsheetml/2006/main" count="190" uniqueCount="141">
  <si>
    <t xml:space="preserve">SISTEM KONTROL BAHAN BAKU — PT YKP</t>
  </si>
  <si>
    <t xml:space="preserve">Template Form F1–F5  |  Versi 1.0  |  Untuk operasional outlet F&amp;B YKP Group</t>
  </si>
  <si>
    <t xml:space="preserve">CARA PAKAI</t>
  </si>
  <si>
    <t xml:space="preserve">1. Upload file ini ke Google Drive PT YKP, lalu klik kanan → 'Open with Google Sheets' untuk versi cloud.</t>
  </si>
  <si>
    <t xml:space="preserve">2. Atau cetak (print) tiap sheet untuk dipakai manual di outlet di hari pertama.</t>
  </si>
  <si>
    <t xml:space="preserve">3. Tiap outlet pegang 1 file copy (rename: 'Stok_NamaOutlet_Bulan.xlsx').</t>
  </si>
  <si>
    <t xml:space="preserve">4. PIC Stok mengisi sel berwarna KUNING (input). Sel HIJAU dihitung otomatis (jangan diedit).</t>
  </si>
  <si>
    <t xml:space="preserve">5. Tutup buku tiap malam jam 22:00. Kirim screenshot Sheet F5 ke WA grup 'Closing Harian YKP'.</t>
  </si>
  <si>
    <t xml:space="preserve">LEGENDA WARNA</t>
  </si>
  <si>
    <t xml:space="preserve">   • Kuning  = Sel input (diisi manual oleh PIC Stok)</t>
  </si>
  <si>
    <t xml:space="preserve">   • Hijau    = Sel otomatis (rumus, jangan diubah)</t>
  </si>
  <si>
    <t xml:space="preserve">   • Merah    = Indikator selisih &gt; toleransi (alert)</t>
  </si>
  <si>
    <t xml:space="preserve">DAFTAR FORM</t>
  </si>
  <si>
    <t xml:space="preserve">   F1  Penerimaan Barang        — diisi saat barang datang dari supplier/gudang pusat</t>
  </si>
  <si>
    <t xml:space="preserve">   F2  Kartu Stok Gudang         — 1 baris per transaksi keluar-masuk per item</t>
  </si>
  <si>
    <t xml:space="preserve">   F3  Bon Pemakaian Dapur     — wajib tiap kali bahan keluar dari gudang outlet</t>
  </si>
  <si>
    <t xml:space="preserve">   F4  Waste / Kerusakan         — wajib foto, tanpa foto = tidak diakui</t>
  </si>
  <si>
    <t xml:space="preserve">   F5  Stock Opname Harian     — closing tiap malam, kirim ke owner</t>
  </si>
  <si>
    <t xml:space="preserve">   Master Item                          — daftar 5–10 item kritikal yang dipantau</t>
  </si>
  <si>
    <t xml:space="preserve">ATURAN EMAS</t>
  </si>
  <si>
    <t xml:space="preserve">   1. Tidak ada tanda tangan = barang tidak diterima.</t>
  </si>
  <si>
    <t xml:space="preserve">   2. Tidak ada bon F3 = bahan tidak boleh keluar dari gudang.</t>
  </si>
  <si>
    <t xml:space="preserve">   3. Tidak ada foto F4 = waste tidak diakui (jadi tanggung jawab PIC).</t>
  </si>
  <si>
    <t xml:space="preserve">   4. Tidak ada closing F5 = outlet tidak boleh buka besok.</t>
  </si>
  <si>
    <t xml:space="preserve">   5. Selisih &gt; 5% per item = wajib investigasi 24 jam.</t>
  </si>
  <si>
    <t xml:space="preserve">KONTAK ESCALATION</t>
  </si>
  <si>
    <t xml:space="preserve">   • Selisih harian ≤ 2% → lanjut normal</t>
  </si>
  <si>
    <t xml:space="preserve">   • Selisih 2–5%           → lapor Manager Outlet, tunggu approval</t>
  </si>
  <si>
    <t xml:space="preserve">   • Selisih &gt; 5%            → lapor Owner langsung malam itu juga</t>
  </si>
  <si>
    <t xml:space="preserve">MASTER ITEM KRITIKAL</t>
  </si>
  <si>
    <t xml:space="preserve">Daftar 5–10 bahan baku paling mahal / paling sering bocor yang dipantau harian</t>
  </si>
  <si>
    <t xml:space="preserve">Kode</t>
  </si>
  <si>
    <t xml:space="preserve">Nama Item</t>
  </si>
  <si>
    <t xml:space="preserve">Satuan</t>
  </si>
  <si>
    <t xml:space="preserve">Harga Beli (Rp)</t>
  </si>
  <si>
    <t xml:space="preserve">Stok Min</t>
  </si>
  <si>
    <t xml:space="preserve">Toleransi Selisih (%)</t>
  </si>
  <si>
    <t xml:space="preserve">Catatan</t>
  </si>
  <si>
    <t xml:space="preserve">ITM-001</t>
  </si>
  <si>
    <t xml:space="preserve">Daging Sapi Sirloin</t>
  </si>
  <si>
    <t xml:space="preserve">kg</t>
  </si>
  <si>
    <t xml:space="preserve">Cek kondisi &amp; timbang ulang</t>
  </si>
  <si>
    <t xml:space="preserve">ITM-002</t>
  </si>
  <si>
    <t xml:space="preserve">Ayam Fillet</t>
  </si>
  <si>
    <t xml:space="preserve">ITM-003</t>
  </si>
  <si>
    <t xml:space="preserve">Salmon Fillet</t>
  </si>
  <si>
    <t xml:space="preserve">Wajib ditimbang depan supplier</t>
  </si>
  <si>
    <t xml:space="preserve">ITM-004</t>
  </si>
  <si>
    <t xml:space="preserve">Keju Mozzarella</t>
  </si>
  <si>
    <t xml:space="preserve">ITM-005</t>
  </si>
  <si>
    <t xml:space="preserve">Minyak Goreng</t>
  </si>
  <si>
    <t xml:space="preserve">liter</t>
  </si>
  <si>
    <t xml:space="preserve">ITM-006</t>
  </si>
  <si>
    <t xml:space="preserve">Gula Pasir</t>
  </si>
  <si>
    <t xml:space="preserve">ITM-007</t>
  </si>
  <si>
    <t xml:space="preserve">Kopi Arabica Bean</t>
  </si>
  <si>
    <t xml:space="preserve">Item rawan bocor</t>
  </si>
  <si>
    <t xml:space="preserve">ITM-008</t>
  </si>
  <si>
    <t xml:space="preserve">Butter Unsalted</t>
  </si>
  <si>
    <t xml:space="preserve">ITM-009</t>
  </si>
  <si>
    <t xml:space="preserve">Udang Vaname</t>
  </si>
  <si>
    <t xml:space="preserve">ITM-010</t>
  </si>
  <si>
    <t xml:space="preserve">Cokelat Couverture</t>
  </si>
  <si>
    <t xml:space="preserve">F1 — PENERIMAAN BARANG</t>
  </si>
  <si>
    <t xml:space="preserve">Wajib diisi saat barang datang. Timbang ulang. TTD 2 orang. Selisih &gt; 0 = klaim hari itu juga.</t>
  </si>
  <si>
    <t xml:space="preserve">Tanggal:</t>
  </si>
  <si>
    <t xml:space="preserve">Outlet:</t>
  </si>
  <si>
    <t xml:space="preserve">PIC Stok:</t>
  </si>
  <si>
    <t xml:space="preserve">Shift:</t>
  </si>
  <si>
    <t xml:space="preserve">No</t>
  </si>
  <si>
    <t xml:space="preserve">Tanggal</t>
  </si>
  <si>
    <t xml:space="preserve">Jam</t>
  </si>
  <si>
    <t xml:space="preserve">No. PO/DO</t>
  </si>
  <si>
    <t xml:space="preserve">Qty Pesan</t>
  </si>
  <si>
    <t xml:space="preserve">Qty Terima</t>
  </si>
  <si>
    <t xml:space="preserve">Selisih</t>
  </si>
  <si>
    <t xml:space="preserve">Kondisi</t>
  </si>
  <si>
    <t xml:space="preserve">TTD Pengirim &amp; Penerima</t>
  </si>
  <si>
    <t xml:space="preserve">F2 — KARTU STOK GUDANG</t>
  </si>
  <si>
    <t xml:space="preserve">1 transaksi = 1 baris. Saldo terhitung otomatis. Cocokkan dengan fisik tiap closing.</t>
  </si>
  <si>
    <t xml:space="preserve">Item Dipantau:</t>
  </si>
  <si>
    <t xml:space="preserve">Satuan:</t>
  </si>
  <si>
    <t xml:space="preserve">Masuk</t>
  </si>
  <si>
    <t xml:space="preserve">Keluar</t>
  </si>
  <si>
    <t xml:space="preserve">Saldo</t>
  </si>
  <si>
    <t xml:space="preserve">Keterangan</t>
  </si>
  <si>
    <t xml:space="preserve">Paraf</t>
  </si>
  <si>
    <t xml:space="preserve">SALDO AWAL</t>
  </si>
  <si>
    <t xml:space="preserve">F3 — BON PEMAKAIAN DAPUR</t>
  </si>
  <si>
    <t xml:space="preserve">Tiap kali bahan keluar dari gudang outlet wajib dicatat. Tidak ada bon = bahan tidak boleh keluar.</t>
  </si>
  <si>
    <t xml:space="preserve">Qty Keluar</t>
  </si>
  <si>
    <t xml:space="preserve">Untuk Menu/Keperluan</t>
  </si>
  <si>
    <t xml:space="preserve">Diminta Oleh</t>
  </si>
  <si>
    <t xml:space="preserve">Disetujui PIC</t>
  </si>
  <si>
    <t xml:space="preserve">F4 — WASTE / KERUSAKAN</t>
  </si>
  <si>
    <t xml:space="preserve">WAJIB FOTO. Tanpa foto = tidak diakui sebagai waste (jadi tanggung jawab PIC).</t>
  </si>
  <si>
    <t xml:space="preserve">Qty</t>
  </si>
  <si>
    <t xml:space="preserve">Alasan</t>
  </si>
  <si>
    <t xml:space="preserve">Foto (Y/N)</t>
  </si>
  <si>
    <t xml:space="preserve">PIC</t>
  </si>
  <si>
    <t xml:space="preserve">TTD Saksi</t>
  </si>
  <si>
    <t xml:space="preserve">F5 — STOCK OPNAME HARIAN (CLOSING)</t>
  </si>
  <si>
    <t xml:space="preserve">Diisi tiap malam jam 22:00. Kirim screenshot ke WA grup 'Closing Harian YKP' sebelum jam 23:00.</t>
  </si>
  <si>
    <t xml:space="preserve">Stok Awal</t>
  </si>
  <si>
    <t xml:space="preserve">Penerimaan</t>
  </si>
  <si>
    <t xml:space="preserve">Pemakaian</t>
  </si>
  <si>
    <t xml:space="preserve">Waste</t>
  </si>
  <si>
    <t xml:space="preserve">Stok Seharusnya</t>
  </si>
  <si>
    <t xml:space="preserve">Stok Aktual</t>
  </si>
  <si>
    <t xml:space="preserve">% Selisih</t>
  </si>
  <si>
    <t xml:space="preserve">TOTAL ITEM TERPANTAU</t>
  </si>
  <si>
    <t xml:space="preserve">RINGKASAN HARIAN</t>
  </si>
  <si>
    <t xml:space="preserve">Jumlah item dengan selisih &gt; 0 (item bocor):</t>
  </si>
  <si>
    <t xml:space="preserve">Jumlah item dengan selisih &gt; 5% (alert):</t>
  </si>
  <si>
    <t xml:space="preserve">Item paling besar selisihnya:</t>
  </si>
  <si>
    <t xml:space="preserve">Status closing:</t>
  </si>
  <si>
    <t xml:space="preserve">DASHBOARD KONTROL — RINGKASAN MINGGUAN</t>
  </si>
  <si>
    <t xml:space="preserve">Diisi tiap Senin pagi oleh Manager Outlet. Untuk review owner.</t>
  </si>
  <si>
    <t xml:space="preserve">Periode:</t>
  </si>
  <si>
    <t xml:space="preserve">KPI MINGGU INI</t>
  </si>
  <si>
    <t xml:space="preserve">KPI</t>
  </si>
  <si>
    <t xml:space="preserve">Target</t>
  </si>
  <si>
    <t xml:space="preserve">Aktual</t>
  </si>
  <si>
    <t xml:space="preserve">Status</t>
  </si>
  <si>
    <t xml:space="preserve">Selisih stok rata-rata harian per item</t>
  </si>
  <si>
    <t xml:space="preserve">≤ 2%</t>
  </si>
  <si>
    <t xml:space="preserve">Food cost % vs sales</t>
  </si>
  <si>
    <t xml:space="preserve">28% – 35%</t>
  </si>
  <si>
    <t xml:space="preserve">Waste ratio (% dari pemakaian)</t>
  </si>
  <si>
    <t xml:space="preserve">Akurasi penerimaan barang</t>
  </si>
  <si>
    <t xml:space="preserve">100%</t>
  </si>
  <si>
    <t xml:space="preserve">Compliance form F1–F5 (lengkap terisi)</t>
  </si>
  <si>
    <t xml:space="preserve">Total nilai selisih minggu ini (Rp)</t>
  </si>
  <si>
    <t xml:space="preserve">Rp 0</t>
  </si>
  <si>
    <t xml:space="preserve">Jumlah audit mendadak minggu ini</t>
  </si>
  <si>
    <t xml:space="preserve">≥ 1×</t>
  </si>
  <si>
    <t xml:space="preserve">3 TEMUAN UTAMA MINGGU INI</t>
  </si>
  <si>
    <t xml:space="preserve">1.</t>
  </si>
  <si>
    <t xml:space="preserve">2.</t>
  </si>
  <si>
    <t xml:space="preserve">3.</t>
  </si>
  <si>
    <t xml:space="preserve">3 RENCANA AKSI MINGGU DEPAN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</si>
</sst>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D6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18" hidden="false" customHeight="true" outlineLevel="0" collapsed="false">
      <c r="B6" s="4"/>
    </row>
    <row r="7" customFormat="false" ht="18" hidden="false" customHeight="true" outlineLevel="0" collapsed="false">
      <c r="B7" s="4" t="s">
        <v>3</v>
      </c>
    </row>
    <row r="8" customFormat="false" ht="18" hidden="false" customHeight="true" outlineLevel="0" collapsed="false">
      <c r="B8" s="4" t="s">
        <v>4</v>
      </c>
    </row>
    <row r="9" customFormat="false" ht="18" hidden="false" customHeight="true" outlineLevel="0" collapsed="false">
      <c r="B9" s="4" t="s">
        <v>5</v>
      </c>
    </row>
    <row r="10" customFormat="false" ht="18" hidden="false" customHeight="true" outlineLevel="0" collapsed="false">
      <c r="B10" s="4" t="s">
        <v>6</v>
      </c>
    </row>
    <row r="11" customFormat="false" ht="18" hidden="false" customHeight="true" outlineLevel="0" collapsed="false">
      <c r="B11" s="4" t="s">
        <v>7</v>
      </c>
    </row>
    <row r="12" customFormat="false" ht="18" hidden="false" customHeight="true" outlineLevel="0" collapsed="false">
      <c r="B12" s="4"/>
    </row>
    <row r="13" customFormat="false" ht="18" hidden="false" customHeight="true" outlineLevel="0" collapsed="false">
      <c r="B13" s="5" t="s">
        <v>8</v>
      </c>
    </row>
    <row r="14" customFormat="false" ht="18" hidden="false" customHeight="true" outlineLevel="0" collapsed="false">
      <c r="B14" s="4" t="s">
        <v>9</v>
      </c>
    </row>
    <row r="15" customFormat="false" ht="18" hidden="false" customHeight="true" outlineLevel="0" collapsed="false">
      <c r="B15" s="4" t="s">
        <v>10</v>
      </c>
    </row>
    <row r="16" customFormat="false" ht="18" hidden="false" customHeight="true" outlineLevel="0" collapsed="false">
      <c r="B16" s="4" t="s">
        <v>11</v>
      </c>
    </row>
    <row r="17" customFormat="false" ht="18" hidden="false" customHeight="true" outlineLevel="0" collapsed="false">
      <c r="B17" s="4"/>
    </row>
    <row r="18" customFormat="false" ht="18" hidden="false" customHeight="true" outlineLevel="0" collapsed="false">
      <c r="B18" s="5" t="s">
        <v>12</v>
      </c>
    </row>
    <row r="19" customFormat="false" ht="18" hidden="false" customHeight="true" outlineLevel="0" collapsed="false">
      <c r="B19" s="4" t="s">
        <v>13</v>
      </c>
    </row>
    <row r="20" customFormat="false" ht="18" hidden="false" customHeight="true" outlineLevel="0" collapsed="false">
      <c r="B20" s="4" t="s">
        <v>14</v>
      </c>
    </row>
    <row r="21" customFormat="false" ht="18" hidden="false" customHeight="true" outlineLevel="0" collapsed="false">
      <c r="B21" s="4" t="s">
        <v>15</v>
      </c>
    </row>
    <row r="22" customFormat="false" ht="18" hidden="false" customHeight="true" outlineLevel="0" collapsed="false">
      <c r="B22" s="4" t="s">
        <v>16</v>
      </c>
    </row>
    <row r="23" customFormat="false" ht="18" hidden="false" customHeight="true" outlineLevel="0" collapsed="false">
      <c r="B23" s="4" t="s">
        <v>17</v>
      </c>
    </row>
    <row r="24" customFormat="false" ht="18" hidden="false" customHeight="true" outlineLevel="0" collapsed="false">
      <c r="B24" s="4" t="s">
        <v>18</v>
      </c>
    </row>
    <row r="25" customFormat="false" ht="18" hidden="false" customHeight="true" outlineLevel="0" collapsed="false">
      <c r="B25" s="4"/>
    </row>
    <row r="26" customFormat="false" ht="18" hidden="false" customHeight="true" outlineLevel="0" collapsed="false">
      <c r="B26" s="5" t="s">
        <v>19</v>
      </c>
    </row>
    <row r="27" customFormat="false" ht="18" hidden="false" customHeight="true" outlineLevel="0" collapsed="false">
      <c r="B27" s="4" t="s">
        <v>20</v>
      </c>
    </row>
    <row r="28" customFormat="false" ht="18" hidden="false" customHeight="true" outlineLevel="0" collapsed="false">
      <c r="B28" s="4" t="s">
        <v>21</v>
      </c>
    </row>
    <row r="29" customFormat="false" ht="18" hidden="false" customHeight="true" outlineLevel="0" collapsed="false">
      <c r="B29" s="4" t="s">
        <v>22</v>
      </c>
    </row>
    <row r="30" customFormat="false" ht="18" hidden="false" customHeight="true" outlineLevel="0" collapsed="false">
      <c r="B30" s="4" t="s">
        <v>23</v>
      </c>
    </row>
    <row r="31" customFormat="false" ht="18" hidden="false" customHeight="true" outlineLevel="0" collapsed="false">
      <c r="B31" s="4" t="s">
        <v>24</v>
      </c>
    </row>
    <row r="32" customFormat="false" ht="18" hidden="false" customHeight="true" outlineLevel="0" collapsed="false">
      <c r="B32" s="4"/>
    </row>
    <row r="33" customFormat="false" ht="18" hidden="false" customHeight="true" outlineLevel="0" collapsed="false">
      <c r="B33" s="5" t="s">
        <v>25</v>
      </c>
    </row>
    <row r="34" customFormat="false" ht="18" hidden="false" customHeight="true" outlineLevel="0" collapsed="false">
      <c r="B34" s="4" t="s">
        <v>26</v>
      </c>
    </row>
    <row r="35" customFormat="false" ht="18" hidden="false" customHeight="true" outlineLevel="0" collapsed="false">
      <c r="B35" s="4" t="s">
        <v>27</v>
      </c>
    </row>
    <row r="36" customFormat="false" ht="18" hidden="false" customHeight="true" outlineLevel="0" collapsed="false">
      <c r="B36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6" t="s">
        <v>29</v>
      </c>
      <c r="B1" s="6"/>
      <c r="C1" s="6"/>
      <c r="D1" s="6"/>
      <c r="E1" s="6"/>
      <c r="F1" s="6"/>
      <c r="G1" s="6"/>
    </row>
    <row r="2" customFormat="false" ht="15" hidden="false" customHeight="true" outlineLevel="0" collapsed="false">
      <c r="A2" s="7" t="s">
        <v>30</v>
      </c>
      <c r="B2" s="7"/>
      <c r="C2" s="7"/>
      <c r="D2" s="7"/>
      <c r="E2" s="7"/>
      <c r="F2" s="7"/>
      <c r="G2" s="7"/>
    </row>
    <row r="4" customFormat="false" ht="34.5" hidden="false" customHeight="true" outlineLevel="0" collapsed="false">
      <c r="A4" s="8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</row>
    <row r="5" customFormat="false" ht="15" hidden="false" customHeight="false" outlineLevel="0" collapsed="false">
      <c r="A5" s="9" t="s">
        <v>38</v>
      </c>
      <c r="B5" s="10" t="s">
        <v>39</v>
      </c>
      <c r="C5" s="9" t="s">
        <v>40</v>
      </c>
      <c r="D5" s="11" t="n">
        <v>180000</v>
      </c>
      <c r="E5" s="9" t="n">
        <v>5</v>
      </c>
      <c r="F5" s="9" t="n">
        <v>2</v>
      </c>
      <c r="G5" s="10" t="s">
        <v>41</v>
      </c>
    </row>
    <row r="6" customFormat="false" ht="15" hidden="false" customHeight="false" outlineLevel="0" collapsed="false">
      <c r="A6" s="9" t="s">
        <v>42</v>
      </c>
      <c r="B6" s="10" t="s">
        <v>43</v>
      </c>
      <c r="C6" s="9" t="s">
        <v>40</v>
      </c>
      <c r="D6" s="11" t="n">
        <v>55000</v>
      </c>
      <c r="E6" s="9" t="n">
        <v>10</v>
      </c>
      <c r="F6" s="9" t="n">
        <v>3</v>
      </c>
      <c r="G6" s="10"/>
    </row>
    <row r="7" customFormat="false" ht="15" hidden="false" customHeight="false" outlineLevel="0" collapsed="false">
      <c r="A7" s="9" t="s">
        <v>44</v>
      </c>
      <c r="B7" s="10" t="s">
        <v>45</v>
      </c>
      <c r="C7" s="9" t="s">
        <v>40</v>
      </c>
      <c r="D7" s="11" t="n">
        <v>320000</v>
      </c>
      <c r="E7" s="9" t="n">
        <v>3</v>
      </c>
      <c r="F7" s="9" t="n">
        <v>2</v>
      </c>
      <c r="G7" s="10" t="s">
        <v>46</v>
      </c>
    </row>
    <row r="8" customFormat="false" ht="15" hidden="false" customHeight="false" outlineLevel="0" collapsed="false">
      <c r="A8" s="9" t="s">
        <v>47</v>
      </c>
      <c r="B8" s="10" t="s">
        <v>48</v>
      </c>
      <c r="C8" s="9" t="s">
        <v>40</v>
      </c>
      <c r="D8" s="11" t="n">
        <v>145000</v>
      </c>
      <c r="E8" s="9" t="n">
        <v>4</v>
      </c>
      <c r="F8" s="9" t="n">
        <v>3</v>
      </c>
      <c r="G8" s="10"/>
    </row>
    <row r="9" customFormat="false" ht="15" hidden="false" customHeight="false" outlineLevel="0" collapsed="false">
      <c r="A9" s="9" t="s">
        <v>49</v>
      </c>
      <c r="B9" s="10" t="s">
        <v>50</v>
      </c>
      <c r="C9" s="9" t="s">
        <v>51</v>
      </c>
      <c r="D9" s="11" t="n">
        <v>18000</v>
      </c>
      <c r="E9" s="9" t="n">
        <v>20</v>
      </c>
      <c r="F9" s="9" t="n">
        <v>5</v>
      </c>
      <c r="G9" s="10"/>
    </row>
    <row r="10" customFormat="false" ht="15" hidden="false" customHeight="false" outlineLevel="0" collapsed="false">
      <c r="A10" s="9" t="s">
        <v>52</v>
      </c>
      <c r="B10" s="10" t="s">
        <v>53</v>
      </c>
      <c r="C10" s="9" t="s">
        <v>40</v>
      </c>
      <c r="D10" s="11" t="n">
        <v>14000</v>
      </c>
      <c r="E10" s="9" t="n">
        <v>15</v>
      </c>
      <c r="F10" s="9" t="n">
        <v>3</v>
      </c>
      <c r="G10" s="10"/>
    </row>
    <row r="11" customFormat="false" ht="15" hidden="false" customHeight="false" outlineLevel="0" collapsed="false">
      <c r="A11" s="9" t="s">
        <v>54</v>
      </c>
      <c r="B11" s="10" t="s">
        <v>55</v>
      </c>
      <c r="C11" s="9" t="s">
        <v>40</v>
      </c>
      <c r="D11" s="11" t="n">
        <v>220000</v>
      </c>
      <c r="E11" s="9" t="n">
        <v>5</v>
      </c>
      <c r="F11" s="9" t="n">
        <v>2</v>
      </c>
      <c r="G11" s="10" t="s">
        <v>56</v>
      </c>
    </row>
    <row r="12" customFormat="false" ht="15" hidden="false" customHeight="false" outlineLevel="0" collapsed="false">
      <c r="A12" s="9" t="s">
        <v>57</v>
      </c>
      <c r="B12" s="10" t="s">
        <v>58</v>
      </c>
      <c r="C12" s="9" t="s">
        <v>40</v>
      </c>
      <c r="D12" s="11" t="n">
        <v>95000</v>
      </c>
      <c r="E12" s="9" t="n">
        <v>5</v>
      </c>
      <c r="F12" s="9" t="n">
        <v>3</v>
      </c>
      <c r="G12" s="10"/>
    </row>
    <row r="13" customFormat="false" ht="15" hidden="false" customHeight="false" outlineLevel="0" collapsed="false">
      <c r="A13" s="9" t="s">
        <v>59</v>
      </c>
      <c r="B13" s="10" t="s">
        <v>60</v>
      </c>
      <c r="C13" s="9" t="s">
        <v>40</v>
      </c>
      <c r="D13" s="11" t="n">
        <v>110000</v>
      </c>
      <c r="E13" s="9" t="n">
        <v>4</v>
      </c>
      <c r="F13" s="9" t="n">
        <v>3</v>
      </c>
      <c r="G13" s="10"/>
    </row>
    <row r="14" customFormat="false" ht="15" hidden="false" customHeight="false" outlineLevel="0" collapsed="false">
      <c r="A14" s="9" t="s">
        <v>61</v>
      </c>
      <c r="B14" s="10" t="s">
        <v>62</v>
      </c>
      <c r="C14" s="9" t="s">
        <v>40</v>
      </c>
      <c r="D14" s="11" t="n">
        <v>165000</v>
      </c>
      <c r="E14" s="9" t="n">
        <v>3</v>
      </c>
      <c r="F14" s="9" t="n">
        <v>2</v>
      </c>
      <c r="G14" s="10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5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6" t="s">
        <v>63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5" hidden="false" customHeight="true" outlineLevel="0" collapsed="false">
      <c r="A2" s="7" t="s">
        <v>64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21.75" hidden="false" customHeight="true" outlineLevel="0" collapsed="false">
      <c r="A4" s="13" t="s">
        <v>65</v>
      </c>
      <c r="B4" s="12"/>
      <c r="C4" s="13" t="s">
        <v>66</v>
      </c>
      <c r="D4" s="12"/>
      <c r="E4" s="13" t="s">
        <v>67</v>
      </c>
      <c r="F4" s="12"/>
      <c r="G4" s="13" t="s">
        <v>68</v>
      </c>
      <c r="H4" s="12"/>
    </row>
    <row r="6" customFormat="false" ht="34.5" hidden="false" customHeight="true" outlineLevel="0" collapsed="false">
      <c r="A6" s="8" t="s">
        <v>69</v>
      </c>
      <c r="B6" s="8" t="s">
        <v>70</v>
      </c>
      <c r="C6" s="8" t="s">
        <v>71</v>
      </c>
      <c r="D6" s="8" t="s">
        <v>72</v>
      </c>
      <c r="E6" s="8" t="s">
        <v>32</v>
      </c>
      <c r="F6" s="8" t="s">
        <v>73</v>
      </c>
      <c r="G6" s="8" t="s">
        <v>74</v>
      </c>
      <c r="H6" s="8" t="s">
        <v>33</v>
      </c>
      <c r="I6" s="8" t="s">
        <v>75</v>
      </c>
      <c r="J6" s="8" t="s">
        <v>76</v>
      </c>
      <c r="K6" s="8" t="s">
        <v>77</v>
      </c>
    </row>
    <row r="7" customFormat="false" ht="15" hidden="false" customHeight="false" outlineLevel="0" collapsed="false">
      <c r="A7" s="14" t="n">
        <v>1</v>
      </c>
      <c r="B7" s="9"/>
      <c r="C7" s="9"/>
      <c r="D7" s="9"/>
      <c r="E7" s="9"/>
      <c r="F7" s="9"/>
      <c r="G7" s="9"/>
      <c r="H7" s="9"/>
      <c r="I7" s="15" t="n">
        <f aca="false">IFERROR(G7-F7,"")</f>
        <v>0</v>
      </c>
      <c r="J7" s="9"/>
      <c r="K7" s="9"/>
    </row>
    <row r="8" customFormat="false" ht="15" hidden="false" customHeight="false" outlineLevel="0" collapsed="false">
      <c r="A8" s="14" t="n">
        <v>2</v>
      </c>
      <c r="B8" s="9"/>
      <c r="C8" s="9"/>
      <c r="D8" s="9"/>
      <c r="E8" s="9"/>
      <c r="F8" s="9"/>
      <c r="G8" s="9"/>
      <c r="H8" s="9"/>
      <c r="I8" s="15" t="n">
        <f aca="false">IFERROR(G8-F8,"")</f>
        <v>0</v>
      </c>
      <c r="J8" s="9"/>
      <c r="K8" s="9"/>
    </row>
    <row r="9" customFormat="false" ht="15" hidden="false" customHeight="false" outlineLevel="0" collapsed="false">
      <c r="A9" s="14" t="n">
        <v>3</v>
      </c>
      <c r="B9" s="9"/>
      <c r="C9" s="9"/>
      <c r="D9" s="9"/>
      <c r="E9" s="9"/>
      <c r="F9" s="9"/>
      <c r="G9" s="9"/>
      <c r="H9" s="9"/>
      <c r="I9" s="15" t="n">
        <f aca="false">IFERROR(G9-F9,"")</f>
        <v>0</v>
      </c>
      <c r="J9" s="9"/>
      <c r="K9" s="9"/>
    </row>
    <row r="10" customFormat="false" ht="15" hidden="false" customHeight="false" outlineLevel="0" collapsed="false">
      <c r="A10" s="14" t="n">
        <v>4</v>
      </c>
      <c r="B10" s="9"/>
      <c r="C10" s="9"/>
      <c r="D10" s="9"/>
      <c r="E10" s="9"/>
      <c r="F10" s="9"/>
      <c r="G10" s="9"/>
      <c r="H10" s="9"/>
      <c r="I10" s="15" t="n">
        <f aca="false">IFERROR(G10-F10,"")</f>
        <v>0</v>
      </c>
      <c r="J10" s="9"/>
      <c r="K10" s="9"/>
    </row>
    <row r="11" customFormat="false" ht="15" hidden="false" customHeight="false" outlineLevel="0" collapsed="false">
      <c r="A11" s="14" t="n">
        <v>5</v>
      </c>
      <c r="B11" s="9"/>
      <c r="C11" s="9"/>
      <c r="D11" s="9"/>
      <c r="E11" s="9"/>
      <c r="F11" s="9"/>
      <c r="G11" s="9"/>
      <c r="H11" s="9"/>
      <c r="I11" s="15" t="n">
        <f aca="false">IFERROR(G11-F11,"")</f>
        <v>0</v>
      </c>
      <c r="J11" s="9"/>
      <c r="K11" s="9"/>
    </row>
    <row r="12" customFormat="false" ht="15" hidden="false" customHeight="false" outlineLevel="0" collapsed="false">
      <c r="A12" s="14" t="n">
        <v>6</v>
      </c>
      <c r="B12" s="9"/>
      <c r="C12" s="9"/>
      <c r="D12" s="9"/>
      <c r="E12" s="9"/>
      <c r="F12" s="9"/>
      <c r="G12" s="9"/>
      <c r="H12" s="9"/>
      <c r="I12" s="15" t="n">
        <f aca="false">IFERROR(G12-F12,"")</f>
        <v>0</v>
      </c>
      <c r="J12" s="9"/>
      <c r="K12" s="9"/>
    </row>
    <row r="13" customFormat="false" ht="15" hidden="false" customHeight="false" outlineLevel="0" collapsed="false">
      <c r="A13" s="14" t="n">
        <v>7</v>
      </c>
      <c r="B13" s="9"/>
      <c r="C13" s="9"/>
      <c r="D13" s="9"/>
      <c r="E13" s="9"/>
      <c r="F13" s="9"/>
      <c r="G13" s="9"/>
      <c r="H13" s="9"/>
      <c r="I13" s="15" t="n">
        <f aca="false">IFERROR(G13-F13,"")</f>
        <v>0</v>
      </c>
      <c r="J13" s="9"/>
      <c r="K13" s="9"/>
    </row>
    <row r="14" customFormat="false" ht="15" hidden="false" customHeight="false" outlineLevel="0" collapsed="false">
      <c r="A14" s="14" t="n">
        <v>8</v>
      </c>
      <c r="B14" s="9"/>
      <c r="C14" s="9"/>
      <c r="D14" s="9"/>
      <c r="E14" s="9"/>
      <c r="F14" s="9"/>
      <c r="G14" s="9"/>
      <c r="H14" s="9"/>
      <c r="I14" s="15" t="n">
        <f aca="false">IFERROR(G14-F14,"")</f>
        <v>0</v>
      </c>
      <c r="J14" s="9"/>
      <c r="K14" s="9"/>
    </row>
    <row r="15" customFormat="false" ht="15" hidden="false" customHeight="false" outlineLevel="0" collapsed="false">
      <c r="A15" s="14" t="n">
        <v>9</v>
      </c>
      <c r="B15" s="9"/>
      <c r="C15" s="9"/>
      <c r="D15" s="9"/>
      <c r="E15" s="9"/>
      <c r="F15" s="9"/>
      <c r="G15" s="9"/>
      <c r="H15" s="9"/>
      <c r="I15" s="15" t="n">
        <f aca="false">IFERROR(G15-F15,"")</f>
        <v>0</v>
      </c>
      <c r="J15" s="9"/>
      <c r="K15" s="9"/>
    </row>
    <row r="16" customFormat="false" ht="15" hidden="false" customHeight="false" outlineLevel="0" collapsed="false">
      <c r="A16" s="14" t="n">
        <v>10</v>
      </c>
      <c r="B16" s="9"/>
      <c r="C16" s="9"/>
      <c r="D16" s="9"/>
      <c r="E16" s="9"/>
      <c r="F16" s="9"/>
      <c r="G16" s="9"/>
      <c r="H16" s="9"/>
      <c r="I16" s="15" t="n">
        <f aca="false">IFERROR(G16-F16,"")</f>
        <v>0</v>
      </c>
      <c r="J16" s="9"/>
      <c r="K16" s="9"/>
    </row>
    <row r="17" customFormat="false" ht="15" hidden="false" customHeight="false" outlineLevel="0" collapsed="false">
      <c r="A17" s="14" t="n">
        <v>11</v>
      </c>
      <c r="B17" s="9"/>
      <c r="C17" s="9"/>
      <c r="D17" s="9"/>
      <c r="E17" s="9"/>
      <c r="F17" s="9"/>
      <c r="G17" s="9"/>
      <c r="H17" s="9"/>
      <c r="I17" s="15" t="n">
        <f aca="false">IFERROR(G17-F17,"")</f>
        <v>0</v>
      </c>
      <c r="J17" s="9"/>
      <c r="K17" s="9"/>
    </row>
    <row r="18" customFormat="false" ht="15" hidden="false" customHeight="false" outlineLevel="0" collapsed="false">
      <c r="A18" s="14" t="n">
        <v>12</v>
      </c>
      <c r="B18" s="9"/>
      <c r="C18" s="9"/>
      <c r="D18" s="9"/>
      <c r="E18" s="9"/>
      <c r="F18" s="9"/>
      <c r="G18" s="9"/>
      <c r="H18" s="9"/>
      <c r="I18" s="15" t="n">
        <f aca="false">IFERROR(G18-F18,"")</f>
        <v>0</v>
      </c>
      <c r="J18" s="9"/>
      <c r="K18" s="9"/>
    </row>
    <row r="19" customFormat="false" ht="15" hidden="false" customHeight="false" outlineLevel="0" collapsed="false">
      <c r="A19" s="14" t="n">
        <v>13</v>
      </c>
      <c r="B19" s="9"/>
      <c r="C19" s="9"/>
      <c r="D19" s="9"/>
      <c r="E19" s="9"/>
      <c r="F19" s="9"/>
      <c r="G19" s="9"/>
      <c r="H19" s="9"/>
      <c r="I19" s="15" t="n">
        <f aca="false">IFERROR(G19-F19,"")</f>
        <v>0</v>
      </c>
      <c r="J19" s="9"/>
      <c r="K19" s="9"/>
    </row>
    <row r="20" customFormat="false" ht="15" hidden="false" customHeight="false" outlineLevel="0" collapsed="false">
      <c r="A20" s="14" t="n">
        <v>14</v>
      </c>
      <c r="B20" s="9"/>
      <c r="C20" s="9"/>
      <c r="D20" s="9"/>
      <c r="E20" s="9"/>
      <c r="F20" s="9"/>
      <c r="G20" s="9"/>
      <c r="H20" s="9"/>
      <c r="I20" s="15" t="n">
        <f aca="false">IFERROR(G20-F20,"")</f>
        <v>0</v>
      </c>
      <c r="J20" s="9"/>
      <c r="K20" s="9"/>
    </row>
    <row r="21" customFormat="false" ht="15" hidden="false" customHeight="false" outlineLevel="0" collapsed="false">
      <c r="A21" s="14" t="n">
        <v>15</v>
      </c>
      <c r="B21" s="9"/>
      <c r="C21" s="9"/>
      <c r="D21" s="9"/>
      <c r="E21" s="9"/>
      <c r="F21" s="9"/>
      <c r="G21" s="9"/>
      <c r="H21" s="9"/>
      <c r="I21" s="15" t="n">
        <f aca="false">IFERROR(G21-F21,"")</f>
        <v>0</v>
      </c>
      <c r="J21" s="9"/>
      <c r="K21" s="9"/>
    </row>
    <row r="22" customFormat="false" ht="15" hidden="false" customHeight="false" outlineLevel="0" collapsed="false">
      <c r="A22" s="14" t="n">
        <v>16</v>
      </c>
      <c r="B22" s="9"/>
      <c r="C22" s="9"/>
      <c r="D22" s="9"/>
      <c r="E22" s="9"/>
      <c r="F22" s="9"/>
      <c r="G22" s="9"/>
      <c r="H22" s="9"/>
      <c r="I22" s="15" t="n">
        <f aca="false">IFERROR(G22-F22,"")</f>
        <v>0</v>
      </c>
      <c r="J22" s="9"/>
      <c r="K22" s="9"/>
    </row>
    <row r="23" customFormat="false" ht="15" hidden="false" customHeight="false" outlineLevel="0" collapsed="false">
      <c r="A23" s="14" t="n">
        <v>17</v>
      </c>
      <c r="B23" s="9"/>
      <c r="C23" s="9"/>
      <c r="D23" s="9"/>
      <c r="E23" s="9"/>
      <c r="F23" s="9"/>
      <c r="G23" s="9"/>
      <c r="H23" s="9"/>
      <c r="I23" s="15" t="n">
        <f aca="false">IFERROR(G23-F23,"")</f>
        <v>0</v>
      </c>
      <c r="J23" s="9"/>
      <c r="K23" s="9"/>
    </row>
    <row r="24" customFormat="false" ht="15" hidden="false" customHeight="false" outlineLevel="0" collapsed="false">
      <c r="A24" s="14" t="n">
        <v>18</v>
      </c>
      <c r="B24" s="9"/>
      <c r="C24" s="9"/>
      <c r="D24" s="9"/>
      <c r="E24" s="9"/>
      <c r="F24" s="9"/>
      <c r="G24" s="9"/>
      <c r="H24" s="9"/>
      <c r="I24" s="15" t="n">
        <f aca="false">IFERROR(G24-F24,"")</f>
        <v>0</v>
      </c>
      <c r="J24" s="9"/>
      <c r="K24" s="9"/>
    </row>
    <row r="25" customFormat="false" ht="15" hidden="false" customHeight="false" outlineLevel="0" collapsed="false">
      <c r="A25" s="14" t="n">
        <v>19</v>
      </c>
      <c r="B25" s="9"/>
      <c r="C25" s="9"/>
      <c r="D25" s="9"/>
      <c r="E25" s="9"/>
      <c r="F25" s="9"/>
      <c r="G25" s="9"/>
      <c r="H25" s="9"/>
      <c r="I25" s="15" t="n">
        <f aca="false">IFERROR(G25-F25,"")</f>
        <v>0</v>
      </c>
      <c r="J25" s="9"/>
      <c r="K25" s="9"/>
    </row>
    <row r="26" customFormat="false" ht="15" hidden="false" customHeight="false" outlineLevel="0" collapsed="false">
      <c r="A26" s="14" t="n">
        <v>20</v>
      </c>
      <c r="B26" s="9"/>
      <c r="C26" s="9"/>
      <c r="D26" s="9"/>
      <c r="E26" s="9"/>
      <c r="F26" s="9"/>
      <c r="G26" s="9"/>
      <c r="H26" s="9"/>
      <c r="I26" s="15" t="n">
        <f aca="false">IFERROR(G26-F26,"")</f>
        <v>0</v>
      </c>
      <c r="J26" s="9"/>
      <c r="K26" s="9"/>
    </row>
  </sheetData>
  <mergeCells count="2">
    <mergeCell ref="A1:K1"/>
    <mergeCell ref="A2:K2"/>
  </mergeCells>
  <conditionalFormatting sqref="I7:I2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6" min="4" style="0" width="12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6" t="s">
        <v>78</v>
      </c>
      <c r="B1" s="6"/>
      <c r="C1" s="6"/>
      <c r="D1" s="6"/>
      <c r="E1" s="6"/>
      <c r="F1" s="6"/>
      <c r="G1" s="6"/>
      <c r="H1" s="6"/>
    </row>
    <row r="2" customFormat="false" ht="15" hidden="false" customHeight="true" outlineLevel="0" collapsed="false">
      <c r="A2" s="7" t="s">
        <v>79</v>
      </c>
      <c r="B2" s="7"/>
      <c r="C2" s="7"/>
      <c r="D2" s="7"/>
      <c r="E2" s="7"/>
      <c r="F2" s="7"/>
      <c r="G2" s="7"/>
      <c r="H2" s="7"/>
    </row>
    <row r="4" customFormat="false" ht="21.75" hidden="false" customHeight="true" outlineLevel="0" collapsed="false">
      <c r="A4" s="13" t="s">
        <v>65</v>
      </c>
      <c r="B4" s="12"/>
      <c r="C4" s="13" t="s">
        <v>66</v>
      </c>
      <c r="D4" s="12"/>
      <c r="E4" s="13" t="s">
        <v>67</v>
      </c>
      <c r="F4" s="12"/>
      <c r="G4" s="13" t="s">
        <v>68</v>
      </c>
      <c r="H4" s="12"/>
    </row>
    <row r="5" customFormat="false" ht="15" hidden="false" customHeight="false" outlineLevel="0" collapsed="false">
      <c r="A5" s="16" t="s">
        <v>80</v>
      </c>
      <c r="B5" s="17"/>
      <c r="C5" s="17"/>
      <c r="D5" s="17"/>
      <c r="E5" s="16" t="s">
        <v>81</v>
      </c>
      <c r="F5" s="17"/>
    </row>
    <row r="7" customFormat="false" ht="34.5" hidden="false" customHeight="true" outlineLevel="0" collapsed="false">
      <c r="A7" s="8" t="s">
        <v>69</v>
      </c>
      <c r="B7" s="8" t="s">
        <v>70</v>
      </c>
      <c r="C7" s="8" t="s">
        <v>71</v>
      </c>
      <c r="D7" s="8" t="s">
        <v>82</v>
      </c>
      <c r="E7" s="8" t="s">
        <v>83</v>
      </c>
      <c r="F7" s="8" t="s">
        <v>84</v>
      </c>
      <c r="G7" s="8" t="s">
        <v>85</v>
      </c>
      <c r="H7" s="8" t="s">
        <v>86</v>
      </c>
    </row>
    <row r="8" customFormat="false" ht="23.85" hidden="false" customHeight="false" outlineLevel="0" collapsed="false">
      <c r="A8" s="18"/>
      <c r="B8" s="19" t="s">
        <v>87</v>
      </c>
      <c r="C8" s="20"/>
      <c r="D8" s="20"/>
      <c r="E8" s="20"/>
      <c r="F8" s="17"/>
      <c r="G8" s="20"/>
      <c r="H8" s="20"/>
    </row>
    <row r="9" customFormat="false" ht="15" hidden="false" customHeight="false" outlineLevel="0" collapsed="false">
      <c r="A9" s="14" t="n">
        <v>1</v>
      </c>
      <c r="B9" s="9"/>
      <c r="C9" s="9"/>
      <c r="D9" s="9"/>
      <c r="E9" s="9"/>
      <c r="F9" s="15" t="n">
        <f aca="false">IFERROR(F8+IF(D9="",0,D9)-IF(E9="",0,E9),"")</f>
        <v>0</v>
      </c>
      <c r="G9" s="10"/>
      <c r="H9" s="9"/>
    </row>
    <row r="10" customFormat="false" ht="15" hidden="false" customHeight="false" outlineLevel="0" collapsed="false">
      <c r="A10" s="14" t="n">
        <v>2</v>
      </c>
      <c r="B10" s="9"/>
      <c r="C10" s="9"/>
      <c r="D10" s="9"/>
      <c r="E10" s="9"/>
      <c r="F10" s="15" t="n">
        <f aca="false">IFERROR(F9+IF(D10="",0,D10)-IF(E10="",0,E10),"")</f>
        <v>0</v>
      </c>
      <c r="G10" s="10"/>
      <c r="H10" s="9"/>
    </row>
    <row r="11" customFormat="false" ht="15" hidden="false" customHeight="false" outlineLevel="0" collapsed="false">
      <c r="A11" s="14" t="n">
        <v>3</v>
      </c>
      <c r="B11" s="9"/>
      <c r="C11" s="9"/>
      <c r="D11" s="9"/>
      <c r="E11" s="9"/>
      <c r="F11" s="15" t="n">
        <f aca="false">IFERROR(F10+IF(D11="",0,D11)-IF(E11="",0,E11),"")</f>
        <v>0</v>
      </c>
      <c r="G11" s="10"/>
      <c r="H11" s="9"/>
    </row>
    <row r="12" customFormat="false" ht="15" hidden="false" customHeight="false" outlineLevel="0" collapsed="false">
      <c r="A12" s="14" t="n">
        <v>4</v>
      </c>
      <c r="B12" s="9"/>
      <c r="C12" s="9"/>
      <c r="D12" s="9"/>
      <c r="E12" s="9"/>
      <c r="F12" s="15" t="n">
        <f aca="false">IFERROR(F11+IF(D12="",0,D12)-IF(E12="",0,E12),"")</f>
        <v>0</v>
      </c>
      <c r="G12" s="10"/>
      <c r="H12" s="9"/>
    </row>
    <row r="13" customFormat="false" ht="15" hidden="false" customHeight="false" outlineLevel="0" collapsed="false">
      <c r="A13" s="14" t="n">
        <v>5</v>
      </c>
      <c r="B13" s="9"/>
      <c r="C13" s="9"/>
      <c r="D13" s="9"/>
      <c r="E13" s="9"/>
      <c r="F13" s="15" t="n">
        <f aca="false">IFERROR(F12+IF(D13="",0,D13)-IF(E13="",0,E13),"")</f>
        <v>0</v>
      </c>
      <c r="G13" s="10"/>
      <c r="H13" s="9"/>
    </row>
    <row r="14" customFormat="false" ht="15" hidden="false" customHeight="false" outlineLevel="0" collapsed="false">
      <c r="A14" s="14" t="n">
        <v>6</v>
      </c>
      <c r="B14" s="9"/>
      <c r="C14" s="9"/>
      <c r="D14" s="9"/>
      <c r="E14" s="9"/>
      <c r="F14" s="15" t="n">
        <f aca="false">IFERROR(F13+IF(D14="",0,D14)-IF(E14="",0,E14),"")</f>
        <v>0</v>
      </c>
      <c r="G14" s="10"/>
      <c r="H14" s="9"/>
    </row>
    <row r="15" customFormat="false" ht="15" hidden="false" customHeight="false" outlineLevel="0" collapsed="false">
      <c r="A15" s="14" t="n">
        <v>7</v>
      </c>
      <c r="B15" s="9"/>
      <c r="C15" s="9"/>
      <c r="D15" s="9"/>
      <c r="E15" s="9"/>
      <c r="F15" s="15" t="n">
        <f aca="false">IFERROR(F14+IF(D15="",0,D15)-IF(E15="",0,E15),"")</f>
        <v>0</v>
      </c>
      <c r="G15" s="10"/>
      <c r="H15" s="9"/>
    </row>
    <row r="16" customFormat="false" ht="15" hidden="false" customHeight="false" outlineLevel="0" collapsed="false">
      <c r="A16" s="14" t="n">
        <v>8</v>
      </c>
      <c r="B16" s="9"/>
      <c r="C16" s="9"/>
      <c r="D16" s="9"/>
      <c r="E16" s="9"/>
      <c r="F16" s="15" t="n">
        <f aca="false">IFERROR(F15+IF(D16="",0,D16)-IF(E16="",0,E16),"")</f>
        <v>0</v>
      </c>
      <c r="G16" s="10"/>
      <c r="H16" s="9"/>
    </row>
    <row r="17" customFormat="false" ht="15" hidden="false" customHeight="false" outlineLevel="0" collapsed="false">
      <c r="A17" s="14" t="n">
        <v>9</v>
      </c>
      <c r="B17" s="9"/>
      <c r="C17" s="9"/>
      <c r="D17" s="9"/>
      <c r="E17" s="9"/>
      <c r="F17" s="15" t="n">
        <f aca="false">IFERROR(F16+IF(D17="",0,D17)-IF(E17="",0,E17),"")</f>
        <v>0</v>
      </c>
      <c r="G17" s="10"/>
      <c r="H17" s="9"/>
    </row>
    <row r="18" customFormat="false" ht="15" hidden="false" customHeight="false" outlineLevel="0" collapsed="false">
      <c r="A18" s="14" t="n">
        <v>10</v>
      </c>
      <c r="B18" s="9"/>
      <c r="C18" s="9"/>
      <c r="D18" s="9"/>
      <c r="E18" s="9"/>
      <c r="F18" s="15" t="n">
        <f aca="false">IFERROR(F17+IF(D18="",0,D18)-IF(E18="",0,E18),"")</f>
        <v>0</v>
      </c>
      <c r="G18" s="10"/>
      <c r="H18" s="9"/>
    </row>
    <row r="19" customFormat="false" ht="15" hidden="false" customHeight="false" outlineLevel="0" collapsed="false">
      <c r="A19" s="14" t="n">
        <v>11</v>
      </c>
      <c r="B19" s="9"/>
      <c r="C19" s="9"/>
      <c r="D19" s="9"/>
      <c r="E19" s="9"/>
      <c r="F19" s="15" t="n">
        <f aca="false">IFERROR(F18+IF(D19="",0,D19)-IF(E19="",0,E19),"")</f>
        <v>0</v>
      </c>
      <c r="G19" s="10"/>
      <c r="H19" s="9"/>
    </row>
    <row r="20" customFormat="false" ht="15" hidden="false" customHeight="false" outlineLevel="0" collapsed="false">
      <c r="A20" s="14" t="n">
        <v>12</v>
      </c>
      <c r="B20" s="9"/>
      <c r="C20" s="9"/>
      <c r="D20" s="9"/>
      <c r="E20" s="9"/>
      <c r="F20" s="15" t="n">
        <f aca="false">IFERROR(F19+IF(D20="",0,D20)-IF(E20="",0,E20),"")</f>
        <v>0</v>
      </c>
      <c r="G20" s="10"/>
      <c r="H20" s="9"/>
    </row>
    <row r="21" customFormat="false" ht="15" hidden="false" customHeight="false" outlineLevel="0" collapsed="false">
      <c r="A21" s="14" t="n">
        <v>13</v>
      </c>
      <c r="B21" s="9"/>
      <c r="C21" s="9"/>
      <c r="D21" s="9"/>
      <c r="E21" s="9"/>
      <c r="F21" s="15" t="n">
        <f aca="false">IFERROR(F20+IF(D21="",0,D21)-IF(E21="",0,E21),"")</f>
        <v>0</v>
      </c>
      <c r="G21" s="10"/>
      <c r="H21" s="9"/>
    </row>
    <row r="22" customFormat="false" ht="15" hidden="false" customHeight="false" outlineLevel="0" collapsed="false">
      <c r="A22" s="14" t="n">
        <v>14</v>
      </c>
      <c r="B22" s="9"/>
      <c r="C22" s="9"/>
      <c r="D22" s="9"/>
      <c r="E22" s="9"/>
      <c r="F22" s="15" t="n">
        <f aca="false">IFERROR(F21+IF(D22="",0,D22)-IF(E22="",0,E22),"")</f>
        <v>0</v>
      </c>
      <c r="G22" s="10"/>
      <c r="H22" s="9"/>
    </row>
    <row r="23" customFormat="false" ht="15" hidden="false" customHeight="false" outlineLevel="0" collapsed="false">
      <c r="A23" s="14" t="n">
        <v>15</v>
      </c>
      <c r="B23" s="9"/>
      <c r="C23" s="9"/>
      <c r="D23" s="9"/>
      <c r="E23" s="9"/>
      <c r="F23" s="15" t="n">
        <f aca="false">IFERROR(F22+IF(D23="",0,D23)-IF(E23="",0,E23),"")</f>
        <v>0</v>
      </c>
      <c r="G23" s="10"/>
      <c r="H23" s="9"/>
    </row>
    <row r="24" customFormat="false" ht="15" hidden="false" customHeight="false" outlineLevel="0" collapsed="false">
      <c r="A24" s="14" t="n">
        <v>16</v>
      </c>
      <c r="B24" s="9"/>
      <c r="C24" s="9"/>
      <c r="D24" s="9"/>
      <c r="E24" s="9"/>
      <c r="F24" s="15" t="n">
        <f aca="false">IFERROR(F23+IF(D24="",0,D24)-IF(E24="",0,E24),"")</f>
        <v>0</v>
      </c>
      <c r="G24" s="10"/>
      <c r="H24" s="9"/>
    </row>
    <row r="25" customFormat="false" ht="15" hidden="false" customHeight="false" outlineLevel="0" collapsed="false">
      <c r="A25" s="14" t="n">
        <v>17</v>
      </c>
      <c r="B25" s="9"/>
      <c r="C25" s="9"/>
      <c r="D25" s="9"/>
      <c r="E25" s="9"/>
      <c r="F25" s="15" t="n">
        <f aca="false">IFERROR(F24+IF(D25="",0,D25)-IF(E25="",0,E25),"")</f>
        <v>0</v>
      </c>
      <c r="G25" s="10"/>
      <c r="H25" s="9"/>
    </row>
    <row r="26" customFormat="false" ht="15" hidden="false" customHeight="false" outlineLevel="0" collapsed="false">
      <c r="A26" s="14" t="n">
        <v>18</v>
      </c>
      <c r="B26" s="9"/>
      <c r="C26" s="9"/>
      <c r="D26" s="9"/>
      <c r="E26" s="9"/>
      <c r="F26" s="15" t="n">
        <f aca="false">IFERROR(F25+IF(D26="",0,D26)-IF(E26="",0,E26),"")</f>
        <v>0</v>
      </c>
      <c r="G26" s="10"/>
      <c r="H26" s="9"/>
    </row>
    <row r="27" customFormat="false" ht="15" hidden="false" customHeight="false" outlineLevel="0" collapsed="false">
      <c r="A27" s="14" t="n">
        <v>19</v>
      </c>
      <c r="B27" s="9"/>
      <c r="C27" s="9"/>
      <c r="D27" s="9"/>
      <c r="E27" s="9"/>
      <c r="F27" s="15" t="n">
        <f aca="false">IFERROR(F26+IF(D27="",0,D27)-IF(E27="",0,E27),"")</f>
        <v>0</v>
      </c>
      <c r="G27" s="10"/>
      <c r="H27" s="9"/>
    </row>
    <row r="28" customFormat="false" ht="15" hidden="false" customHeight="false" outlineLevel="0" collapsed="false">
      <c r="A28" s="14" t="n">
        <v>20</v>
      </c>
      <c r="B28" s="9"/>
      <c r="C28" s="9"/>
      <c r="D28" s="9"/>
      <c r="E28" s="9"/>
      <c r="F28" s="15" t="n">
        <f aca="false">IFERROR(F27+IF(D28="",0,D28)-IF(E28="",0,E28),"")</f>
        <v>0</v>
      </c>
      <c r="G28" s="10"/>
      <c r="H28" s="9"/>
    </row>
    <row r="29" customFormat="false" ht="15" hidden="false" customHeight="false" outlineLevel="0" collapsed="false">
      <c r="A29" s="14" t="n">
        <v>21</v>
      </c>
      <c r="B29" s="9"/>
      <c r="C29" s="9"/>
      <c r="D29" s="9"/>
      <c r="E29" s="9"/>
      <c r="F29" s="15" t="n">
        <f aca="false">IFERROR(F28+IF(D29="",0,D29)-IF(E29="",0,E29),"")</f>
        <v>0</v>
      </c>
      <c r="G29" s="10"/>
      <c r="H29" s="9"/>
    </row>
    <row r="30" customFormat="false" ht="15" hidden="false" customHeight="false" outlineLevel="0" collapsed="false">
      <c r="A30" s="14" t="n">
        <v>22</v>
      </c>
      <c r="B30" s="9"/>
      <c r="C30" s="9"/>
      <c r="D30" s="9"/>
      <c r="E30" s="9"/>
      <c r="F30" s="15" t="n">
        <f aca="false">IFERROR(F29+IF(D30="",0,D30)-IF(E30="",0,E30),"")</f>
        <v>0</v>
      </c>
      <c r="G30" s="10"/>
      <c r="H30" s="9"/>
    </row>
    <row r="31" customFormat="false" ht="15" hidden="false" customHeight="false" outlineLevel="0" collapsed="false">
      <c r="A31" s="14" t="n">
        <v>23</v>
      </c>
      <c r="B31" s="9"/>
      <c r="C31" s="9"/>
      <c r="D31" s="9"/>
      <c r="E31" s="9"/>
      <c r="F31" s="15" t="n">
        <f aca="false">IFERROR(F30+IF(D31="",0,D31)-IF(E31="",0,E31),"")</f>
        <v>0</v>
      </c>
      <c r="G31" s="10"/>
      <c r="H31" s="9"/>
    </row>
    <row r="32" customFormat="false" ht="15" hidden="false" customHeight="false" outlineLevel="0" collapsed="false">
      <c r="A32" s="14" t="n">
        <v>24</v>
      </c>
      <c r="B32" s="9"/>
      <c r="C32" s="9"/>
      <c r="D32" s="9"/>
      <c r="E32" s="9"/>
      <c r="F32" s="15" t="n">
        <f aca="false">IFERROR(F31+IF(D32="",0,D32)-IF(E32="",0,E32),"")</f>
        <v>0</v>
      </c>
      <c r="G32" s="10"/>
      <c r="H32" s="9"/>
    </row>
    <row r="33" customFormat="false" ht="15" hidden="false" customHeight="false" outlineLevel="0" collapsed="false">
      <c r="A33" s="14" t="n">
        <v>25</v>
      </c>
      <c r="B33" s="9"/>
      <c r="C33" s="9"/>
      <c r="D33" s="9"/>
      <c r="E33" s="9"/>
      <c r="F33" s="15" t="n">
        <f aca="false">IFERROR(F32+IF(D33="",0,D33)-IF(E33="",0,E33),"")</f>
        <v>0</v>
      </c>
      <c r="G33" s="10"/>
      <c r="H33" s="9"/>
    </row>
    <row r="34" customFormat="false" ht="15" hidden="false" customHeight="false" outlineLevel="0" collapsed="false">
      <c r="A34" s="14" t="n">
        <v>26</v>
      </c>
      <c r="B34" s="9"/>
      <c r="C34" s="9"/>
      <c r="D34" s="9"/>
      <c r="E34" s="9"/>
      <c r="F34" s="15" t="n">
        <f aca="false">IFERROR(F33+IF(D34="",0,D34)-IF(E34="",0,E34),"")</f>
        <v>0</v>
      </c>
      <c r="G34" s="10"/>
      <c r="H34" s="9"/>
    </row>
  </sheetData>
  <mergeCells count="3">
    <mergeCell ref="A1:H1"/>
    <mergeCell ref="A2:H2"/>
    <mergeCell ref="B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9" min="8" style="0" width="16"/>
  </cols>
  <sheetData>
    <row r="1" customFormat="false" ht="27.75" hidden="false" customHeight="true" outlineLevel="0" collapsed="false">
      <c r="A1" s="6" t="s">
        <v>88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true" outlineLevel="0" collapsed="false">
      <c r="A2" s="7" t="s">
        <v>89</v>
      </c>
      <c r="B2" s="7"/>
      <c r="C2" s="7"/>
      <c r="D2" s="7"/>
      <c r="E2" s="7"/>
      <c r="F2" s="7"/>
      <c r="G2" s="7"/>
      <c r="H2" s="7"/>
      <c r="I2" s="7"/>
    </row>
    <row r="4" customFormat="false" ht="21.75" hidden="false" customHeight="true" outlineLevel="0" collapsed="false">
      <c r="A4" s="13" t="s">
        <v>65</v>
      </c>
      <c r="B4" s="12"/>
      <c r="C4" s="13" t="s">
        <v>66</v>
      </c>
      <c r="D4" s="12"/>
      <c r="E4" s="13" t="s">
        <v>67</v>
      </c>
      <c r="F4" s="12"/>
      <c r="G4" s="13" t="s">
        <v>68</v>
      </c>
      <c r="H4" s="12"/>
    </row>
    <row r="6" customFormat="false" ht="34.5" hidden="false" customHeight="true" outlineLevel="0" collapsed="false">
      <c r="A6" s="8" t="s">
        <v>69</v>
      </c>
      <c r="B6" s="8" t="s">
        <v>70</v>
      </c>
      <c r="C6" s="8" t="s">
        <v>71</v>
      </c>
      <c r="D6" s="8" t="s">
        <v>32</v>
      </c>
      <c r="E6" s="8" t="s">
        <v>90</v>
      </c>
      <c r="F6" s="8" t="s">
        <v>33</v>
      </c>
      <c r="G6" s="8" t="s">
        <v>91</v>
      </c>
      <c r="H6" s="8" t="s">
        <v>92</v>
      </c>
      <c r="I6" s="8" t="s">
        <v>93</v>
      </c>
    </row>
    <row r="7" customFormat="false" ht="15" hidden="false" customHeight="false" outlineLevel="0" collapsed="false">
      <c r="A7" s="14" t="n">
        <v>1</v>
      </c>
      <c r="B7" s="9"/>
      <c r="C7" s="9"/>
      <c r="D7" s="10"/>
      <c r="E7" s="9"/>
      <c r="F7" s="9"/>
      <c r="G7" s="10"/>
      <c r="H7" s="9"/>
      <c r="I7" s="9"/>
    </row>
    <row r="8" customFormat="false" ht="15" hidden="false" customHeight="false" outlineLevel="0" collapsed="false">
      <c r="A8" s="14" t="n">
        <v>2</v>
      </c>
      <c r="B8" s="9"/>
      <c r="C8" s="9"/>
      <c r="D8" s="10"/>
      <c r="E8" s="9"/>
      <c r="F8" s="9"/>
      <c r="G8" s="10"/>
      <c r="H8" s="9"/>
      <c r="I8" s="9"/>
    </row>
    <row r="9" customFormat="false" ht="15" hidden="false" customHeight="false" outlineLevel="0" collapsed="false">
      <c r="A9" s="14" t="n">
        <v>3</v>
      </c>
      <c r="B9" s="9"/>
      <c r="C9" s="9"/>
      <c r="D9" s="10"/>
      <c r="E9" s="9"/>
      <c r="F9" s="9"/>
      <c r="G9" s="10"/>
      <c r="H9" s="9"/>
      <c r="I9" s="9"/>
    </row>
    <row r="10" customFormat="false" ht="15" hidden="false" customHeight="false" outlineLevel="0" collapsed="false">
      <c r="A10" s="14" t="n">
        <v>4</v>
      </c>
      <c r="B10" s="9"/>
      <c r="C10" s="9"/>
      <c r="D10" s="10"/>
      <c r="E10" s="9"/>
      <c r="F10" s="9"/>
      <c r="G10" s="10"/>
      <c r="H10" s="9"/>
      <c r="I10" s="9"/>
    </row>
    <row r="11" customFormat="false" ht="15" hidden="false" customHeight="false" outlineLevel="0" collapsed="false">
      <c r="A11" s="14" t="n">
        <v>5</v>
      </c>
      <c r="B11" s="9"/>
      <c r="C11" s="9"/>
      <c r="D11" s="10"/>
      <c r="E11" s="9"/>
      <c r="F11" s="9"/>
      <c r="G11" s="10"/>
      <c r="H11" s="9"/>
      <c r="I11" s="9"/>
    </row>
    <row r="12" customFormat="false" ht="15" hidden="false" customHeight="false" outlineLevel="0" collapsed="false">
      <c r="A12" s="14" t="n">
        <v>6</v>
      </c>
      <c r="B12" s="9"/>
      <c r="C12" s="9"/>
      <c r="D12" s="10"/>
      <c r="E12" s="9"/>
      <c r="F12" s="9"/>
      <c r="G12" s="10"/>
      <c r="H12" s="9"/>
      <c r="I12" s="9"/>
    </row>
    <row r="13" customFormat="false" ht="15" hidden="false" customHeight="false" outlineLevel="0" collapsed="false">
      <c r="A13" s="14" t="n">
        <v>7</v>
      </c>
      <c r="B13" s="9"/>
      <c r="C13" s="9"/>
      <c r="D13" s="10"/>
      <c r="E13" s="9"/>
      <c r="F13" s="9"/>
      <c r="G13" s="10"/>
      <c r="H13" s="9"/>
      <c r="I13" s="9"/>
    </row>
    <row r="14" customFormat="false" ht="15" hidden="false" customHeight="false" outlineLevel="0" collapsed="false">
      <c r="A14" s="14" t="n">
        <v>8</v>
      </c>
      <c r="B14" s="9"/>
      <c r="C14" s="9"/>
      <c r="D14" s="10"/>
      <c r="E14" s="9"/>
      <c r="F14" s="9"/>
      <c r="G14" s="10"/>
      <c r="H14" s="9"/>
      <c r="I14" s="9"/>
    </row>
    <row r="15" customFormat="false" ht="15" hidden="false" customHeight="false" outlineLevel="0" collapsed="false">
      <c r="A15" s="14" t="n">
        <v>9</v>
      </c>
      <c r="B15" s="9"/>
      <c r="C15" s="9"/>
      <c r="D15" s="10"/>
      <c r="E15" s="9"/>
      <c r="F15" s="9"/>
      <c r="G15" s="10"/>
      <c r="H15" s="9"/>
      <c r="I15" s="9"/>
    </row>
    <row r="16" customFormat="false" ht="15" hidden="false" customHeight="false" outlineLevel="0" collapsed="false">
      <c r="A16" s="14" t="n">
        <v>10</v>
      </c>
      <c r="B16" s="9"/>
      <c r="C16" s="9"/>
      <c r="D16" s="10"/>
      <c r="E16" s="9"/>
      <c r="F16" s="9"/>
      <c r="G16" s="10"/>
      <c r="H16" s="9"/>
      <c r="I16" s="9"/>
    </row>
    <row r="17" customFormat="false" ht="15" hidden="false" customHeight="false" outlineLevel="0" collapsed="false">
      <c r="A17" s="14" t="n">
        <v>11</v>
      </c>
      <c r="B17" s="9"/>
      <c r="C17" s="9"/>
      <c r="D17" s="10"/>
      <c r="E17" s="9"/>
      <c r="F17" s="9"/>
      <c r="G17" s="10"/>
      <c r="H17" s="9"/>
      <c r="I17" s="9"/>
    </row>
    <row r="18" customFormat="false" ht="15" hidden="false" customHeight="false" outlineLevel="0" collapsed="false">
      <c r="A18" s="14" t="n">
        <v>12</v>
      </c>
      <c r="B18" s="9"/>
      <c r="C18" s="9"/>
      <c r="D18" s="10"/>
      <c r="E18" s="9"/>
      <c r="F18" s="9"/>
      <c r="G18" s="10"/>
      <c r="H18" s="9"/>
      <c r="I18" s="9"/>
    </row>
    <row r="19" customFormat="false" ht="15" hidden="false" customHeight="false" outlineLevel="0" collapsed="false">
      <c r="A19" s="14" t="n">
        <v>13</v>
      </c>
      <c r="B19" s="9"/>
      <c r="C19" s="9"/>
      <c r="D19" s="10"/>
      <c r="E19" s="9"/>
      <c r="F19" s="9"/>
      <c r="G19" s="10"/>
      <c r="H19" s="9"/>
      <c r="I19" s="9"/>
    </row>
    <row r="20" customFormat="false" ht="15" hidden="false" customHeight="false" outlineLevel="0" collapsed="false">
      <c r="A20" s="14" t="n">
        <v>14</v>
      </c>
      <c r="B20" s="9"/>
      <c r="C20" s="9"/>
      <c r="D20" s="10"/>
      <c r="E20" s="9"/>
      <c r="F20" s="9"/>
      <c r="G20" s="10"/>
      <c r="H20" s="9"/>
      <c r="I20" s="9"/>
    </row>
    <row r="21" customFormat="false" ht="15" hidden="false" customHeight="false" outlineLevel="0" collapsed="false">
      <c r="A21" s="14" t="n">
        <v>15</v>
      </c>
      <c r="B21" s="9"/>
      <c r="C21" s="9"/>
      <c r="D21" s="10"/>
      <c r="E21" s="9"/>
      <c r="F21" s="9"/>
      <c r="G21" s="10"/>
      <c r="H21" s="9"/>
      <c r="I21" s="9"/>
    </row>
    <row r="22" customFormat="false" ht="15" hidden="false" customHeight="false" outlineLevel="0" collapsed="false">
      <c r="A22" s="14" t="n">
        <v>16</v>
      </c>
      <c r="B22" s="9"/>
      <c r="C22" s="9"/>
      <c r="D22" s="10"/>
      <c r="E22" s="9"/>
      <c r="F22" s="9"/>
      <c r="G22" s="10"/>
      <c r="H22" s="9"/>
      <c r="I22" s="9"/>
    </row>
    <row r="23" customFormat="false" ht="15" hidden="false" customHeight="false" outlineLevel="0" collapsed="false">
      <c r="A23" s="14" t="n">
        <v>17</v>
      </c>
      <c r="B23" s="9"/>
      <c r="C23" s="9"/>
      <c r="D23" s="10"/>
      <c r="E23" s="9"/>
      <c r="F23" s="9"/>
      <c r="G23" s="10"/>
      <c r="H23" s="9"/>
      <c r="I23" s="9"/>
    </row>
    <row r="24" customFormat="false" ht="15" hidden="false" customHeight="false" outlineLevel="0" collapsed="false">
      <c r="A24" s="14" t="n">
        <v>18</v>
      </c>
      <c r="B24" s="9"/>
      <c r="C24" s="9"/>
      <c r="D24" s="10"/>
      <c r="E24" s="9"/>
      <c r="F24" s="9"/>
      <c r="G24" s="10"/>
      <c r="H24" s="9"/>
      <c r="I24" s="9"/>
    </row>
    <row r="25" customFormat="false" ht="15" hidden="false" customHeight="false" outlineLevel="0" collapsed="false">
      <c r="A25" s="14" t="n">
        <v>19</v>
      </c>
      <c r="B25" s="9"/>
      <c r="C25" s="9"/>
      <c r="D25" s="10"/>
      <c r="E25" s="9"/>
      <c r="F25" s="9"/>
      <c r="G25" s="10"/>
      <c r="H25" s="9"/>
      <c r="I25" s="9"/>
    </row>
    <row r="26" customFormat="false" ht="15" hidden="false" customHeight="false" outlineLevel="0" collapsed="false">
      <c r="A26" s="14" t="n">
        <v>20</v>
      </c>
      <c r="B26" s="9"/>
      <c r="C26" s="9"/>
      <c r="D26" s="10"/>
      <c r="E26" s="9"/>
      <c r="F26" s="9"/>
      <c r="G26" s="10"/>
      <c r="H26" s="9"/>
      <c r="I26" s="9"/>
    </row>
    <row r="27" customFormat="false" ht="15" hidden="false" customHeight="false" outlineLevel="0" collapsed="false">
      <c r="A27" s="14" t="n">
        <v>21</v>
      </c>
      <c r="B27" s="9"/>
      <c r="C27" s="9"/>
      <c r="D27" s="10"/>
      <c r="E27" s="9"/>
      <c r="F27" s="9"/>
      <c r="G27" s="10"/>
      <c r="H27" s="9"/>
      <c r="I27" s="9"/>
    </row>
    <row r="28" customFormat="false" ht="15" hidden="false" customHeight="false" outlineLevel="0" collapsed="false">
      <c r="A28" s="14" t="n">
        <v>22</v>
      </c>
      <c r="B28" s="9"/>
      <c r="C28" s="9"/>
      <c r="D28" s="10"/>
      <c r="E28" s="9"/>
      <c r="F28" s="9"/>
      <c r="G28" s="10"/>
      <c r="H28" s="9"/>
      <c r="I28" s="9"/>
    </row>
    <row r="29" customFormat="false" ht="15" hidden="false" customHeight="false" outlineLevel="0" collapsed="false">
      <c r="A29" s="14" t="n">
        <v>23</v>
      </c>
      <c r="B29" s="9"/>
      <c r="C29" s="9"/>
      <c r="D29" s="10"/>
      <c r="E29" s="9"/>
      <c r="F29" s="9"/>
      <c r="G29" s="10"/>
      <c r="H29" s="9"/>
      <c r="I29" s="9"/>
    </row>
    <row r="30" customFormat="false" ht="15" hidden="false" customHeight="false" outlineLevel="0" collapsed="false">
      <c r="A30" s="14" t="n">
        <v>24</v>
      </c>
      <c r="B30" s="9"/>
      <c r="C30" s="9"/>
      <c r="D30" s="10"/>
      <c r="E30" s="9"/>
      <c r="F30" s="9"/>
      <c r="G30" s="10"/>
      <c r="H30" s="9"/>
      <c r="I30" s="9"/>
    </row>
    <row r="31" customFormat="false" ht="15" hidden="false" customHeight="false" outlineLevel="0" collapsed="false">
      <c r="A31" s="14" t="n">
        <v>25</v>
      </c>
      <c r="B31" s="9"/>
      <c r="C31" s="9"/>
      <c r="D31" s="10"/>
      <c r="E31" s="9"/>
      <c r="F31" s="9"/>
      <c r="G31" s="10"/>
      <c r="H31" s="9"/>
      <c r="I31" s="9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5" min="4" style="0" width="10"/>
    <col collapsed="false" customWidth="true" hidden="false" outlineLevel="0" max="6" min="6" style="0" width="28"/>
    <col collapsed="false" customWidth="true" hidden="false" outlineLevel="0" max="7" min="7" style="0" width="11"/>
    <col collapsed="false" customWidth="true" hidden="false" outlineLevel="0" max="9" min="8" style="0" width="16"/>
  </cols>
  <sheetData>
    <row r="1" customFormat="false" ht="27.75" hidden="false" customHeight="true" outlineLevel="0" collapsed="false">
      <c r="A1" s="6" t="s">
        <v>94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true" outlineLevel="0" collapsed="false">
      <c r="A2" s="7" t="s">
        <v>95</v>
      </c>
      <c r="B2" s="7"/>
      <c r="C2" s="7"/>
      <c r="D2" s="7"/>
      <c r="E2" s="7"/>
      <c r="F2" s="7"/>
      <c r="G2" s="7"/>
      <c r="H2" s="7"/>
      <c r="I2" s="7"/>
    </row>
    <row r="4" customFormat="false" ht="21.75" hidden="false" customHeight="true" outlineLevel="0" collapsed="false">
      <c r="A4" s="13" t="s">
        <v>65</v>
      </c>
      <c r="B4" s="12"/>
      <c r="C4" s="13" t="s">
        <v>66</v>
      </c>
      <c r="D4" s="12"/>
      <c r="E4" s="13" t="s">
        <v>67</v>
      </c>
      <c r="F4" s="12"/>
      <c r="G4" s="13" t="s">
        <v>68</v>
      </c>
      <c r="H4" s="12"/>
    </row>
    <row r="6" customFormat="false" ht="34.5" hidden="false" customHeight="true" outlineLevel="0" collapsed="false">
      <c r="A6" s="8" t="s">
        <v>69</v>
      </c>
      <c r="B6" s="8" t="s">
        <v>70</v>
      </c>
      <c r="C6" s="8" t="s">
        <v>32</v>
      </c>
      <c r="D6" s="8" t="s">
        <v>96</v>
      </c>
      <c r="E6" s="8" t="s">
        <v>33</v>
      </c>
      <c r="F6" s="8" t="s">
        <v>97</v>
      </c>
      <c r="G6" s="8" t="s">
        <v>98</v>
      </c>
      <c r="H6" s="8" t="s">
        <v>99</v>
      </c>
      <c r="I6" s="8" t="s">
        <v>100</v>
      </c>
    </row>
    <row r="7" customFormat="false" ht="15" hidden="false" customHeight="false" outlineLevel="0" collapsed="false">
      <c r="A7" s="14" t="n">
        <v>1</v>
      </c>
      <c r="B7" s="9"/>
      <c r="C7" s="10"/>
      <c r="D7" s="9"/>
      <c r="E7" s="9"/>
      <c r="F7" s="10"/>
      <c r="G7" s="9"/>
      <c r="H7" s="9"/>
      <c r="I7" s="9"/>
    </row>
    <row r="8" customFormat="false" ht="15" hidden="false" customHeight="false" outlineLevel="0" collapsed="false">
      <c r="A8" s="14" t="n">
        <v>2</v>
      </c>
      <c r="B8" s="9"/>
      <c r="C8" s="10"/>
      <c r="D8" s="9"/>
      <c r="E8" s="9"/>
      <c r="F8" s="10"/>
      <c r="G8" s="9"/>
      <c r="H8" s="9"/>
      <c r="I8" s="9"/>
    </row>
    <row r="9" customFormat="false" ht="15" hidden="false" customHeight="false" outlineLevel="0" collapsed="false">
      <c r="A9" s="14" t="n">
        <v>3</v>
      </c>
      <c r="B9" s="9"/>
      <c r="C9" s="10"/>
      <c r="D9" s="9"/>
      <c r="E9" s="9"/>
      <c r="F9" s="10"/>
      <c r="G9" s="9"/>
      <c r="H9" s="9"/>
      <c r="I9" s="9"/>
    </row>
    <row r="10" customFormat="false" ht="15" hidden="false" customHeight="false" outlineLevel="0" collapsed="false">
      <c r="A10" s="14" t="n">
        <v>4</v>
      </c>
      <c r="B10" s="9"/>
      <c r="C10" s="10"/>
      <c r="D10" s="9"/>
      <c r="E10" s="9"/>
      <c r="F10" s="10"/>
      <c r="G10" s="9"/>
      <c r="H10" s="9"/>
      <c r="I10" s="9"/>
    </row>
    <row r="11" customFormat="false" ht="15" hidden="false" customHeight="false" outlineLevel="0" collapsed="false">
      <c r="A11" s="14" t="n">
        <v>5</v>
      </c>
      <c r="B11" s="9"/>
      <c r="C11" s="10"/>
      <c r="D11" s="9"/>
      <c r="E11" s="9"/>
      <c r="F11" s="10"/>
      <c r="G11" s="9"/>
      <c r="H11" s="9"/>
      <c r="I11" s="9"/>
    </row>
    <row r="12" customFormat="false" ht="15" hidden="false" customHeight="false" outlineLevel="0" collapsed="false">
      <c r="A12" s="14" t="n">
        <v>6</v>
      </c>
      <c r="B12" s="9"/>
      <c r="C12" s="10"/>
      <c r="D12" s="9"/>
      <c r="E12" s="9"/>
      <c r="F12" s="10"/>
      <c r="G12" s="9"/>
      <c r="H12" s="9"/>
      <c r="I12" s="9"/>
    </row>
    <row r="13" customFormat="false" ht="15" hidden="false" customHeight="false" outlineLevel="0" collapsed="false">
      <c r="A13" s="14" t="n">
        <v>7</v>
      </c>
      <c r="B13" s="9"/>
      <c r="C13" s="10"/>
      <c r="D13" s="9"/>
      <c r="E13" s="9"/>
      <c r="F13" s="10"/>
      <c r="G13" s="9"/>
      <c r="H13" s="9"/>
      <c r="I13" s="9"/>
    </row>
    <row r="14" customFormat="false" ht="15" hidden="false" customHeight="false" outlineLevel="0" collapsed="false">
      <c r="A14" s="14" t="n">
        <v>8</v>
      </c>
      <c r="B14" s="9"/>
      <c r="C14" s="10"/>
      <c r="D14" s="9"/>
      <c r="E14" s="9"/>
      <c r="F14" s="10"/>
      <c r="G14" s="9"/>
      <c r="H14" s="9"/>
      <c r="I14" s="9"/>
    </row>
    <row r="15" customFormat="false" ht="15" hidden="false" customHeight="false" outlineLevel="0" collapsed="false">
      <c r="A15" s="14" t="n">
        <v>9</v>
      </c>
      <c r="B15" s="9"/>
      <c r="C15" s="10"/>
      <c r="D15" s="9"/>
      <c r="E15" s="9"/>
      <c r="F15" s="10"/>
      <c r="G15" s="9"/>
      <c r="H15" s="9"/>
      <c r="I15" s="9"/>
    </row>
    <row r="16" customFormat="false" ht="15" hidden="false" customHeight="false" outlineLevel="0" collapsed="false">
      <c r="A16" s="14" t="n">
        <v>10</v>
      </c>
      <c r="B16" s="9"/>
      <c r="C16" s="10"/>
      <c r="D16" s="9"/>
      <c r="E16" s="9"/>
      <c r="F16" s="10"/>
      <c r="G16" s="9"/>
      <c r="H16" s="9"/>
      <c r="I16" s="9"/>
    </row>
    <row r="17" customFormat="false" ht="15" hidden="false" customHeight="false" outlineLevel="0" collapsed="false">
      <c r="A17" s="14" t="n">
        <v>11</v>
      </c>
      <c r="B17" s="9"/>
      <c r="C17" s="10"/>
      <c r="D17" s="9"/>
      <c r="E17" s="9"/>
      <c r="F17" s="10"/>
      <c r="G17" s="9"/>
      <c r="H17" s="9"/>
      <c r="I17" s="9"/>
    </row>
    <row r="18" customFormat="false" ht="15" hidden="false" customHeight="false" outlineLevel="0" collapsed="false">
      <c r="A18" s="14" t="n">
        <v>12</v>
      </c>
      <c r="B18" s="9"/>
      <c r="C18" s="10"/>
      <c r="D18" s="9"/>
      <c r="E18" s="9"/>
      <c r="F18" s="10"/>
      <c r="G18" s="9"/>
      <c r="H18" s="9"/>
      <c r="I18" s="9"/>
    </row>
    <row r="19" customFormat="false" ht="15" hidden="false" customHeight="false" outlineLevel="0" collapsed="false">
      <c r="A19" s="14" t="n">
        <v>13</v>
      </c>
      <c r="B19" s="9"/>
      <c r="C19" s="10"/>
      <c r="D19" s="9"/>
      <c r="E19" s="9"/>
      <c r="F19" s="10"/>
      <c r="G19" s="9"/>
      <c r="H19" s="9"/>
      <c r="I19" s="9"/>
    </row>
    <row r="20" customFormat="false" ht="15" hidden="false" customHeight="false" outlineLevel="0" collapsed="false">
      <c r="A20" s="14" t="n">
        <v>14</v>
      </c>
      <c r="B20" s="9"/>
      <c r="C20" s="10"/>
      <c r="D20" s="9"/>
      <c r="E20" s="9"/>
      <c r="F20" s="10"/>
      <c r="G20" s="9"/>
      <c r="H20" s="9"/>
      <c r="I20" s="9"/>
    </row>
    <row r="21" customFormat="false" ht="15" hidden="false" customHeight="false" outlineLevel="0" collapsed="false">
      <c r="A21" s="14" t="n">
        <v>15</v>
      </c>
      <c r="B21" s="9"/>
      <c r="C21" s="10"/>
      <c r="D21" s="9"/>
      <c r="E21" s="9"/>
      <c r="F21" s="10"/>
      <c r="G21" s="9"/>
      <c r="H21" s="9"/>
      <c r="I21" s="9"/>
    </row>
    <row r="22" customFormat="false" ht="15" hidden="false" customHeight="false" outlineLevel="0" collapsed="false">
      <c r="A22" s="14" t="n">
        <v>16</v>
      </c>
      <c r="B22" s="9"/>
      <c r="C22" s="10"/>
      <c r="D22" s="9"/>
      <c r="E22" s="9"/>
      <c r="F22" s="10"/>
      <c r="G22" s="9"/>
      <c r="H22" s="9"/>
      <c r="I22" s="9"/>
    </row>
    <row r="23" customFormat="false" ht="15" hidden="false" customHeight="false" outlineLevel="0" collapsed="false">
      <c r="A23" s="14" t="n">
        <v>17</v>
      </c>
      <c r="B23" s="9"/>
      <c r="C23" s="10"/>
      <c r="D23" s="9"/>
      <c r="E23" s="9"/>
      <c r="F23" s="10"/>
      <c r="G23" s="9"/>
      <c r="H23" s="9"/>
      <c r="I23" s="9"/>
    </row>
    <row r="24" customFormat="false" ht="15" hidden="false" customHeight="false" outlineLevel="0" collapsed="false">
      <c r="A24" s="14" t="n">
        <v>18</v>
      </c>
      <c r="B24" s="9"/>
      <c r="C24" s="10"/>
      <c r="D24" s="9"/>
      <c r="E24" s="9"/>
      <c r="F24" s="10"/>
      <c r="G24" s="9"/>
      <c r="H24" s="9"/>
      <c r="I24" s="9"/>
    </row>
    <row r="25" customFormat="false" ht="15" hidden="false" customHeight="false" outlineLevel="0" collapsed="false">
      <c r="A25" s="14" t="n">
        <v>19</v>
      </c>
      <c r="B25" s="9"/>
      <c r="C25" s="10"/>
      <c r="D25" s="9"/>
      <c r="E25" s="9"/>
      <c r="F25" s="10"/>
      <c r="G25" s="9"/>
      <c r="H25" s="9"/>
      <c r="I25" s="9"/>
    </row>
    <row r="26" customFormat="false" ht="15" hidden="false" customHeight="false" outlineLevel="0" collapsed="false">
      <c r="A26" s="14" t="n">
        <v>20</v>
      </c>
      <c r="B26" s="9"/>
      <c r="C26" s="10"/>
      <c r="D26" s="9"/>
      <c r="E26" s="9"/>
      <c r="F26" s="10"/>
      <c r="G26" s="9"/>
      <c r="H26" s="9"/>
      <c r="I26" s="9"/>
    </row>
  </sheetData>
  <mergeCells count="2">
    <mergeCell ref="A1:I1"/>
    <mergeCell ref="A2:I2"/>
  </mergeCells>
  <conditionalFormatting sqref="G7:G26">
    <cfRule type="cellIs" priority="2" operator="equal" aboveAverage="0" equalAverage="0" bottom="0" percent="0" rank="0" text="" dxfId="0">
      <formula>"N"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2" min="11" style="0" width="12"/>
  </cols>
  <sheetData>
    <row r="1" customFormat="false" ht="27.75" hidden="false" customHeight="true" outlineLevel="0" collapsed="false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true" outlineLevel="0" collapsed="false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21.75" hidden="false" customHeight="true" outlineLevel="0" collapsed="false">
      <c r="A4" s="13" t="s">
        <v>65</v>
      </c>
      <c r="B4" s="12"/>
      <c r="C4" s="13" t="s">
        <v>66</v>
      </c>
      <c r="D4" s="12"/>
      <c r="E4" s="13" t="s">
        <v>67</v>
      </c>
      <c r="F4" s="12"/>
      <c r="G4" s="13" t="s">
        <v>68</v>
      </c>
      <c r="H4" s="12"/>
    </row>
    <row r="6" customFormat="false" ht="34.5" hidden="false" customHeight="true" outlineLevel="0" collapsed="false">
      <c r="A6" s="8" t="s">
        <v>69</v>
      </c>
      <c r="B6" s="8" t="s">
        <v>31</v>
      </c>
      <c r="C6" s="8" t="s">
        <v>32</v>
      </c>
      <c r="D6" s="8" t="s">
        <v>33</v>
      </c>
      <c r="E6" s="8" t="s">
        <v>103</v>
      </c>
      <c r="F6" s="8" t="s">
        <v>104</v>
      </c>
      <c r="G6" s="8" t="s">
        <v>105</v>
      </c>
      <c r="H6" s="8" t="s">
        <v>106</v>
      </c>
      <c r="I6" s="8" t="s">
        <v>107</v>
      </c>
      <c r="J6" s="8" t="s">
        <v>108</v>
      </c>
      <c r="K6" s="8" t="s">
        <v>75</v>
      </c>
      <c r="L6" s="8" t="s">
        <v>109</v>
      </c>
    </row>
    <row r="7" customFormat="false" ht="15" hidden="false" customHeight="false" outlineLevel="0" collapsed="false">
      <c r="A7" s="14" t="n">
        <v>1</v>
      </c>
      <c r="B7" s="9"/>
      <c r="C7" s="10"/>
      <c r="D7" s="9"/>
      <c r="E7" s="9"/>
      <c r="F7" s="9"/>
      <c r="G7" s="9"/>
      <c r="H7" s="9"/>
      <c r="I7" s="15" t="str">
        <f aca="false">IFERROR(IF(E7="","",E7+IF(F7="",0,F7)-IF(G7="",0,G7)-IF(H7="",0,H7)),"")</f>
        <v/>
      </c>
      <c r="J7" s="9"/>
      <c r="K7" s="15" t="str">
        <f aca="false">IFERROR(IF(OR(I7="",J7=""),"",J7-I7),"")</f>
        <v/>
      </c>
      <c r="L7" s="21" t="str">
        <f aca="false">IFERROR(IF(OR(I7="",I7=0,K7=""),"",K7/I7),"")</f>
        <v/>
      </c>
    </row>
    <row r="8" customFormat="false" ht="15" hidden="false" customHeight="false" outlineLevel="0" collapsed="false">
      <c r="A8" s="14" t="n">
        <v>2</v>
      </c>
      <c r="B8" s="9"/>
      <c r="C8" s="10"/>
      <c r="D8" s="9"/>
      <c r="E8" s="9"/>
      <c r="F8" s="9"/>
      <c r="G8" s="9"/>
      <c r="H8" s="9"/>
      <c r="I8" s="15" t="str">
        <f aca="false">IFERROR(IF(E8="","",E8+IF(F8="",0,F8)-IF(G8="",0,G8)-IF(H8="",0,H8)),"")</f>
        <v/>
      </c>
      <c r="J8" s="9"/>
      <c r="K8" s="15" t="str">
        <f aca="false">IFERROR(IF(OR(I8="",J8=""),"",J8-I8),"")</f>
        <v/>
      </c>
      <c r="L8" s="21" t="str">
        <f aca="false">IFERROR(IF(OR(I8="",I8=0,K8=""),"",K8/I8),"")</f>
        <v/>
      </c>
    </row>
    <row r="9" customFormat="false" ht="15" hidden="false" customHeight="false" outlineLevel="0" collapsed="false">
      <c r="A9" s="14" t="n">
        <v>3</v>
      </c>
      <c r="B9" s="9"/>
      <c r="C9" s="10"/>
      <c r="D9" s="9"/>
      <c r="E9" s="9"/>
      <c r="F9" s="9"/>
      <c r="G9" s="9"/>
      <c r="H9" s="9"/>
      <c r="I9" s="15" t="str">
        <f aca="false">IFERROR(IF(E9="","",E9+IF(F9="",0,F9)-IF(G9="",0,G9)-IF(H9="",0,H9)),"")</f>
        <v/>
      </c>
      <c r="J9" s="9"/>
      <c r="K9" s="15" t="str">
        <f aca="false">IFERROR(IF(OR(I9="",J9=""),"",J9-I9),"")</f>
        <v/>
      </c>
      <c r="L9" s="21" t="str">
        <f aca="false">IFERROR(IF(OR(I9="",I9=0,K9=""),"",K9/I9),"")</f>
        <v/>
      </c>
    </row>
    <row r="10" customFormat="false" ht="15" hidden="false" customHeight="false" outlineLevel="0" collapsed="false">
      <c r="A10" s="14" t="n">
        <v>4</v>
      </c>
      <c r="B10" s="9"/>
      <c r="C10" s="10"/>
      <c r="D10" s="9"/>
      <c r="E10" s="9"/>
      <c r="F10" s="9"/>
      <c r="G10" s="9"/>
      <c r="H10" s="9"/>
      <c r="I10" s="15" t="str">
        <f aca="false">IFERROR(IF(E10="","",E10+IF(F10="",0,F10)-IF(G10="",0,G10)-IF(H10="",0,H10)),"")</f>
        <v/>
      </c>
      <c r="J10" s="9"/>
      <c r="K10" s="15" t="str">
        <f aca="false">IFERROR(IF(OR(I10="",J10=""),"",J10-I10),"")</f>
        <v/>
      </c>
      <c r="L10" s="21" t="str">
        <f aca="false">IFERROR(IF(OR(I10="",I10=0,K10=""),"",K10/I10),"")</f>
        <v/>
      </c>
    </row>
    <row r="11" customFormat="false" ht="15" hidden="false" customHeight="false" outlineLevel="0" collapsed="false">
      <c r="A11" s="14" t="n">
        <v>5</v>
      </c>
      <c r="B11" s="9"/>
      <c r="C11" s="10"/>
      <c r="D11" s="9"/>
      <c r="E11" s="9"/>
      <c r="F11" s="9"/>
      <c r="G11" s="9"/>
      <c r="H11" s="9"/>
      <c r="I11" s="15" t="str">
        <f aca="false">IFERROR(IF(E11="","",E11+IF(F11="",0,F11)-IF(G11="",0,G11)-IF(H11="",0,H11)),"")</f>
        <v/>
      </c>
      <c r="J11" s="9"/>
      <c r="K11" s="15" t="str">
        <f aca="false">IFERROR(IF(OR(I11="",J11=""),"",J11-I11),"")</f>
        <v/>
      </c>
      <c r="L11" s="21" t="str">
        <f aca="false">IFERROR(IF(OR(I11="",I11=0,K11=""),"",K11/I11),"")</f>
        <v/>
      </c>
    </row>
    <row r="12" customFormat="false" ht="15" hidden="false" customHeight="false" outlineLevel="0" collapsed="false">
      <c r="A12" s="14" t="n">
        <v>6</v>
      </c>
      <c r="B12" s="9"/>
      <c r="C12" s="10"/>
      <c r="D12" s="9"/>
      <c r="E12" s="9"/>
      <c r="F12" s="9"/>
      <c r="G12" s="9"/>
      <c r="H12" s="9"/>
      <c r="I12" s="15" t="str">
        <f aca="false">IFERROR(IF(E12="","",E12+IF(F12="",0,F12)-IF(G12="",0,G12)-IF(H12="",0,H12)),"")</f>
        <v/>
      </c>
      <c r="J12" s="9"/>
      <c r="K12" s="15" t="str">
        <f aca="false">IFERROR(IF(OR(I12="",J12=""),"",J12-I12),"")</f>
        <v/>
      </c>
      <c r="L12" s="21" t="str">
        <f aca="false">IFERROR(IF(OR(I12="",I12=0,K12=""),"",K12/I12),"")</f>
        <v/>
      </c>
    </row>
    <row r="13" customFormat="false" ht="15" hidden="false" customHeight="false" outlineLevel="0" collapsed="false">
      <c r="A13" s="14" t="n">
        <v>7</v>
      </c>
      <c r="B13" s="9"/>
      <c r="C13" s="10"/>
      <c r="D13" s="9"/>
      <c r="E13" s="9"/>
      <c r="F13" s="9"/>
      <c r="G13" s="9"/>
      <c r="H13" s="9"/>
      <c r="I13" s="15" t="str">
        <f aca="false">IFERROR(IF(E13="","",E13+IF(F13="",0,F13)-IF(G13="",0,G13)-IF(H13="",0,H13)),"")</f>
        <v/>
      </c>
      <c r="J13" s="9"/>
      <c r="K13" s="15" t="str">
        <f aca="false">IFERROR(IF(OR(I13="",J13=""),"",J13-I13),"")</f>
        <v/>
      </c>
      <c r="L13" s="21" t="str">
        <f aca="false">IFERROR(IF(OR(I13="",I13=0,K13=""),"",K13/I13),"")</f>
        <v/>
      </c>
    </row>
    <row r="14" customFormat="false" ht="15" hidden="false" customHeight="false" outlineLevel="0" collapsed="false">
      <c r="A14" s="14" t="n">
        <v>8</v>
      </c>
      <c r="B14" s="9"/>
      <c r="C14" s="10"/>
      <c r="D14" s="9"/>
      <c r="E14" s="9"/>
      <c r="F14" s="9"/>
      <c r="G14" s="9"/>
      <c r="H14" s="9"/>
      <c r="I14" s="15" t="str">
        <f aca="false">IFERROR(IF(E14="","",E14+IF(F14="",0,F14)-IF(G14="",0,G14)-IF(H14="",0,H14)),"")</f>
        <v/>
      </c>
      <c r="J14" s="9"/>
      <c r="K14" s="15" t="str">
        <f aca="false">IFERROR(IF(OR(I14="",J14=""),"",J14-I14),"")</f>
        <v/>
      </c>
      <c r="L14" s="21" t="str">
        <f aca="false">IFERROR(IF(OR(I14="",I14=0,K14=""),"",K14/I14),"")</f>
        <v/>
      </c>
    </row>
    <row r="15" customFormat="false" ht="15" hidden="false" customHeight="false" outlineLevel="0" collapsed="false">
      <c r="A15" s="14" t="n">
        <v>9</v>
      </c>
      <c r="B15" s="9"/>
      <c r="C15" s="10"/>
      <c r="D15" s="9"/>
      <c r="E15" s="9"/>
      <c r="F15" s="9"/>
      <c r="G15" s="9"/>
      <c r="H15" s="9"/>
      <c r="I15" s="15" t="str">
        <f aca="false">IFERROR(IF(E15="","",E15+IF(F15="",0,F15)-IF(G15="",0,G15)-IF(H15="",0,H15)),"")</f>
        <v/>
      </c>
      <c r="J15" s="9"/>
      <c r="K15" s="15" t="str">
        <f aca="false">IFERROR(IF(OR(I15="",J15=""),"",J15-I15),"")</f>
        <v/>
      </c>
      <c r="L15" s="21" t="str">
        <f aca="false">IFERROR(IF(OR(I15="",I15=0,K15=""),"",K15/I15),"")</f>
        <v/>
      </c>
    </row>
    <row r="16" customFormat="false" ht="15" hidden="false" customHeight="false" outlineLevel="0" collapsed="false">
      <c r="A16" s="14" t="n">
        <v>10</v>
      </c>
      <c r="B16" s="9"/>
      <c r="C16" s="10"/>
      <c r="D16" s="9"/>
      <c r="E16" s="9"/>
      <c r="F16" s="9"/>
      <c r="G16" s="9"/>
      <c r="H16" s="9"/>
      <c r="I16" s="15" t="str">
        <f aca="false">IFERROR(IF(E16="","",E16+IF(F16="",0,F16)-IF(G16="",0,G16)-IF(H16="",0,H16)),"")</f>
        <v/>
      </c>
      <c r="J16" s="9"/>
      <c r="K16" s="15" t="str">
        <f aca="false">IFERROR(IF(OR(I16="",J16=""),"",J16-I16),"")</f>
        <v/>
      </c>
      <c r="L16" s="21" t="str">
        <f aca="false">IFERROR(IF(OR(I16="",I16=0,K16=""),"",K16/I16),"")</f>
        <v/>
      </c>
    </row>
    <row r="17" customFormat="false" ht="15" hidden="false" customHeight="false" outlineLevel="0" collapsed="false">
      <c r="A17" s="14" t="n">
        <v>11</v>
      </c>
      <c r="B17" s="9"/>
      <c r="C17" s="10"/>
      <c r="D17" s="9"/>
      <c r="E17" s="9"/>
      <c r="F17" s="9"/>
      <c r="G17" s="9"/>
      <c r="H17" s="9"/>
      <c r="I17" s="15" t="str">
        <f aca="false">IFERROR(IF(E17="","",E17+IF(F17="",0,F17)-IF(G17="",0,G17)-IF(H17="",0,H17)),"")</f>
        <v/>
      </c>
      <c r="J17" s="9"/>
      <c r="K17" s="15" t="str">
        <f aca="false">IFERROR(IF(OR(I17="",J17=""),"",J17-I17),"")</f>
        <v/>
      </c>
      <c r="L17" s="21" t="str">
        <f aca="false">IFERROR(IF(OR(I17="",I17=0,K17=""),"",K17/I17),"")</f>
        <v/>
      </c>
    </row>
    <row r="18" customFormat="false" ht="15" hidden="false" customHeight="false" outlineLevel="0" collapsed="false">
      <c r="A18" s="14" t="n">
        <v>12</v>
      </c>
      <c r="B18" s="9"/>
      <c r="C18" s="10"/>
      <c r="D18" s="9"/>
      <c r="E18" s="9"/>
      <c r="F18" s="9"/>
      <c r="G18" s="9"/>
      <c r="H18" s="9"/>
      <c r="I18" s="15" t="str">
        <f aca="false">IFERROR(IF(E18="","",E18+IF(F18="",0,F18)-IF(G18="",0,G18)-IF(H18="",0,H18)),"")</f>
        <v/>
      </c>
      <c r="J18" s="9"/>
      <c r="K18" s="15" t="str">
        <f aca="false">IFERROR(IF(OR(I18="",J18=""),"",J18-I18),"")</f>
        <v/>
      </c>
      <c r="L18" s="21" t="str">
        <f aca="false">IFERROR(IF(OR(I18="",I18=0,K18=""),"",K18/I18),"")</f>
        <v/>
      </c>
    </row>
    <row r="19" customFormat="false" ht="26.85" hidden="false" customHeight="false" outlineLevel="0" collapsed="false">
      <c r="A19" s="22"/>
      <c r="B19" s="22"/>
      <c r="C19" s="8" t="s">
        <v>110</v>
      </c>
      <c r="D19" s="22"/>
      <c r="E19" s="22"/>
      <c r="F19" s="22"/>
      <c r="G19" s="22"/>
      <c r="H19" s="22"/>
      <c r="I19" s="22"/>
      <c r="J19" s="22"/>
      <c r="K19" s="22"/>
      <c r="L19" s="22"/>
    </row>
    <row r="21" customFormat="false" ht="15" hidden="false" customHeight="false" outlineLevel="0" collapsed="false">
      <c r="B21" s="23" t="s">
        <v>111</v>
      </c>
      <c r="C21" s="23"/>
      <c r="D21" s="23"/>
      <c r="E21" s="23"/>
    </row>
    <row r="22" customFormat="false" ht="15" hidden="false" customHeight="false" outlineLevel="0" collapsed="false">
      <c r="B22" s="24" t="s">
        <v>112</v>
      </c>
      <c r="C22" s="24"/>
      <c r="D22" s="24"/>
      <c r="E22" s="24"/>
      <c r="F22" s="25" t="n">
        <f aca="false">IFERROR(COUNTIF(K7:K18,"&lt;0"),"(belum ada data)")</f>
        <v>0</v>
      </c>
      <c r="G22" s="25"/>
      <c r="H22" s="25"/>
    </row>
    <row r="23" customFormat="false" ht="15" hidden="false" customHeight="false" outlineLevel="0" collapsed="false">
      <c r="B23" s="24" t="s">
        <v>113</v>
      </c>
      <c r="C23" s="24"/>
      <c r="D23" s="24"/>
      <c r="E23" s="24"/>
      <c r="F23" s="25" t="str">
        <f aca="false">IFERROR(SUMPRODUCT((ABS(L7:L18)&gt;0.05)*(L7:L18&lt;&gt;"")),"(belum ada data)")</f>
        <v>(belum ada data)</v>
      </c>
      <c r="G23" s="25"/>
      <c r="H23" s="25"/>
    </row>
    <row r="24" customFormat="false" ht="15" hidden="false" customHeight="false" outlineLevel="0" collapsed="false">
      <c r="B24" s="24" t="s">
        <v>114</v>
      </c>
      <c r="C24" s="24"/>
      <c r="D24" s="24"/>
      <c r="E24" s="24"/>
      <c r="F24" s="25" t="str">
        <f aca="false">IFERROR(IFERROR(INDEX(C7:C18,MATCH(MIN(K7:K18),K7:K18,0)),"(belum ada data)"),"(belum ada data)")</f>
        <v>(belum ada data)</v>
      </c>
      <c r="G24" s="25"/>
      <c r="H24" s="25"/>
    </row>
    <row r="25" customFormat="false" ht="15" hidden="false" customHeight="false" outlineLevel="0" collapsed="false">
      <c r="B25" s="24" t="s">
        <v>115</v>
      </c>
      <c r="C25" s="24"/>
      <c r="D25" s="24"/>
      <c r="E25" s="24"/>
      <c r="F25" s="25" t="str">
        <f aca="false">IFERROR(IF(COUNTA(J7:J18)=0,"BELUM CLOSING",IF(SUMPRODUCT((IFERROR(ABS(L7:L18),0)&gt;0.05)*1)&gt;0,"⚠ ADA ALERT - LAPOR OWNER","✓ AMAN")),"(belum ada data)")</f>
        <v>BELUM CLOSING</v>
      </c>
      <c r="G25" s="25"/>
      <c r="H25" s="25"/>
    </row>
  </sheetData>
  <mergeCells count="11">
    <mergeCell ref="A1:L1"/>
    <mergeCell ref="A2:L2"/>
    <mergeCell ref="B21:E21"/>
    <mergeCell ref="B22:E22"/>
    <mergeCell ref="F22:H22"/>
    <mergeCell ref="B23:E23"/>
    <mergeCell ref="F23:H23"/>
    <mergeCell ref="B24:E24"/>
    <mergeCell ref="F24:H24"/>
    <mergeCell ref="B25:E25"/>
    <mergeCell ref="F25:H25"/>
  </mergeCells>
  <conditionalFormatting sqref="L7:L18">
    <cfRule type="expression" priority="2" aboveAverage="0" equalAverage="0" bottom="0" percent="0" rank="0" text="" dxfId="1">
      <formula>ABS(L7)&gt;0.05</formula>
    </cfRule>
    <cfRule type="expression" priority="3" aboveAverage="0" equalAverage="0" bottom="0" percent="0" rank="0" text="" dxfId="2">
      <formula>AND(ABS(L7)&gt;0.02,ABS(L7)&lt;=0.05)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8" min="4" style="0" width="15"/>
  </cols>
  <sheetData>
    <row r="1" customFormat="false" ht="27.75" hidden="false" customHeight="true" outlineLevel="0" collapsed="false">
      <c r="A1" s="6" t="s">
        <v>116</v>
      </c>
      <c r="B1" s="6"/>
      <c r="C1" s="6"/>
      <c r="D1" s="6"/>
      <c r="E1" s="6"/>
      <c r="F1" s="6"/>
      <c r="G1" s="6"/>
      <c r="H1" s="6"/>
    </row>
    <row r="2" customFormat="false" ht="15" hidden="false" customHeight="true" outlineLevel="0" collapsed="false">
      <c r="A2" s="7" t="s">
        <v>117</v>
      </c>
      <c r="B2" s="7"/>
      <c r="C2" s="7"/>
      <c r="D2" s="7"/>
      <c r="E2" s="7"/>
      <c r="F2" s="7"/>
      <c r="G2" s="7"/>
      <c r="H2" s="7"/>
    </row>
    <row r="4" customFormat="false" ht="15" hidden="false" customHeight="false" outlineLevel="0" collapsed="false">
      <c r="A4" s="16" t="s">
        <v>118</v>
      </c>
      <c r="B4" s="17"/>
      <c r="C4" s="17"/>
      <c r="D4" s="17"/>
      <c r="E4" s="16" t="s">
        <v>66</v>
      </c>
      <c r="F4" s="17"/>
      <c r="G4" s="17"/>
      <c r="H4" s="17"/>
    </row>
    <row r="6" customFormat="false" ht="16.15" hidden="false" customHeight="false" outlineLevel="0" collapsed="false">
      <c r="A6" s="3" t="s">
        <v>119</v>
      </c>
    </row>
    <row r="8" customFormat="false" ht="34.5" hidden="false" customHeight="true" outlineLevel="0" collapsed="false">
      <c r="A8" s="8" t="s">
        <v>120</v>
      </c>
      <c r="B8" s="8" t="s">
        <v>121</v>
      </c>
      <c r="C8" s="8" t="s">
        <v>122</v>
      </c>
      <c r="D8" s="8" t="s">
        <v>123</v>
      </c>
      <c r="E8" s="8"/>
      <c r="F8" s="8"/>
      <c r="G8" s="8"/>
      <c r="H8" s="8"/>
    </row>
    <row r="9" customFormat="false" ht="15" hidden="false" customHeight="false" outlineLevel="0" collapsed="false">
      <c r="A9" s="26" t="s">
        <v>124</v>
      </c>
      <c r="B9" s="14" t="s">
        <v>125</v>
      </c>
      <c r="C9" s="9"/>
      <c r="D9" s="9"/>
    </row>
    <row r="10" customFormat="false" ht="15" hidden="false" customHeight="false" outlineLevel="0" collapsed="false">
      <c r="A10" s="26" t="s">
        <v>126</v>
      </c>
      <c r="B10" s="14" t="s">
        <v>127</v>
      </c>
      <c r="C10" s="9"/>
      <c r="D10" s="9"/>
    </row>
    <row r="11" customFormat="false" ht="15" hidden="false" customHeight="false" outlineLevel="0" collapsed="false">
      <c r="A11" s="26" t="s">
        <v>128</v>
      </c>
      <c r="B11" s="14" t="s">
        <v>125</v>
      </c>
      <c r="C11" s="9"/>
      <c r="D11" s="9"/>
    </row>
    <row r="12" customFormat="false" ht="15" hidden="false" customHeight="false" outlineLevel="0" collapsed="false">
      <c r="A12" s="26" t="s">
        <v>129</v>
      </c>
      <c r="B12" s="14" t="s">
        <v>130</v>
      </c>
      <c r="C12" s="9"/>
      <c r="D12" s="9"/>
    </row>
    <row r="13" customFormat="false" ht="15" hidden="false" customHeight="false" outlineLevel="0" collapsed="false">
      <c r="A13" s="26" t="s">
        <v>131</v>
      </c>
      <c r="B13" s="14" t="s">
        <v>130</v>
      </c>
      <c r="C13" s="9"/>
      <c r="D13" s="9"/>
    </row>
    <row r="14" customFormat="false" ht="15" hidden="false" customHeight="false" outlineLevel="0" collapsed="false">
      <c r="A14" s="26" t="s">
        <v>132</v>
      </c>
      <c r="B14" s="14" t="s">
        <v>133</v>
      </c>
      <c r="C14" s="9"/>
      <c r="D14" s="9"/>
    </row>
    <row r="15" customFormat="false" ht="15" hidden="false" customHeight="false" outlineLevel="0" collapsed="false">
      <c r="A15" s="26" t="s">
        <v>134</v>
      </c>
      <c r="B15" s="14" t="s">
        <v>135</v>
      </c>
      <c r="C15" s="9"/>
      <c r="D15" s="9"/>
    </row>
    <row r="18" customFormat="false" ht="15" hidden="false" customHeight="false" outlineLevel="0" collapsed="false">
      <c r="A18" s="27" t="s">
        <v>136</v>
      </c>
    </row>
    <row r="19" customFormat="false" ht="24.75" hidden="false" customHeight="true" outlineLevel="0" collapsed="false">
      <c r="A19" s="13" t="s">
        <v>137</v>
      </c>
      <c r="B19" s="17"/>
      <c r="C19" s="17"/>
      <c r="D19" s="17"/>
      <c r="E19" s="17"/>
      <c r="F19" s="17"/>
      <c r="G19" s="17"/>
      <c r="H19" s="17"/>
    </row>
    <row r="20" customFormat="false" ht="24.75" hidden="false" customHeight="true" outlineLevel="0" collapsed="false">
      <c r="A20" s="13" t="s">
        <v>138</v>
      </c>
      <c r="B20" s="17"/>
      <c r="C20" s="17"/>
      <c r="D20" s="17"/>
      <c r="E20" s="17"/>
      <c r="F20" s="17"/>
      <c r="G20" s="17"/>
      <c r="H20" s="17"/>
    </row>
    <row r="21" customFormat="false" ht="24.75" hidden="false" customHeight="true" outlineLevel="0" collapsed="false">
      <c r="A21" s="13" t="s">
        <v>139</v>
      </c>
      <c r="B21" s="17"/>
      <c r="C21" s="17"/>
      <c r="D21" s="17"/>
      <c r="E21" s="17"/>
      <c r="F21" s="17"/>
      <c r="G21" s="17"/>
      <c r="H21" s="17"/>
    </row>
    <row r="23" customFormat="false" ht="15" hidden="false" customHeight="false" outlineLevel="0" collapsed="false">
      <c r="A23" s="27" t="s">
        <v>140</v>
      </c>
    </row>
    <row r="24" customFormat="false" ht="24.75" hidden="false" customHeight="true" outlineLevel="0" collapsed="false">
      <c r="A24" s="13" t="s">
        <v>137</v>
      </c>
      <c r="B24" s="17"/>
      <c r="C24" s="17"/>
      <c r="D24" s="17"/>
      <c r="E24" s="17"/>
      <c r="F24" s="17"/>
      <c r="G24" s="17"/>
      <c r="H24" s="17"/>
    </row>
    <row r="25" customFormat="false" ht="24.75" hidden="false" customHeight="true" outlineLevel="0" collapsed="false">
      <c r="A25" s="13" t="s">
        <v>138</v>
      </c>
      <c r="B25" s="17"/>
      <c r="C25" s="17"/>
      <c r="D25" s="17"/>
      <c r="E25" s="17"/>
      <c r="F25" s="17"/>
      <c r="G25" s="17"/>
      <c r="H25" s="17"/>
    </row>
    <row r="26" customFormat="false" ht="24.75" hidden="false" customHeight="true" outlineLevel="0" collapsed="false">
      <c r="A26" s="13" t="s">
        <v>139</v>
      </c>
      <c r="B26" s="17"/>
      <c r="C26" s="17"/>
      <c r="D26" s="17"/>
      <c r="E26" s="17"/>
      <c r="F26" s="17"/>
      <c r="G26" s="17"/>
      <c r="H26" s="17"/>
    </row>
  </sheetData>
  <mergeCells count="10">
    <mergeCell ref="A1:H1"/>
    <mergeCell ref="A2:H2"/>
    <mergeCell ref="B4:D4"/>
    <mergeCell ref="F4:H4"/>
    <mergeCell ref="B19:H19"/>
    <mergeCell ref="B20:H20"/>
    <mergeCell ref="B21:H21"/>
    <mergeCell ref="B24:H24"/>
    <mergeCell ref="B25:H25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2026-05-04T07:09:42Z</dcterms:created>
  <dc:creator>openpyxl</dc:creator>
  <dc:description/>
  <dc:language>en-US</dc:language>
  <cp:lastModifiedBy/>
  <dcterms:modified xsi:type="dcterms:W3CDTF">2026-05-04T07:09:42Z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